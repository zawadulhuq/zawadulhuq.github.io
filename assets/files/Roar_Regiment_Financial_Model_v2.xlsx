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087745E-AD99-4A04-BDC5-B4221649242C}" xr6:coauthVersionLast="47" xr6:coauthVersionMax="47" xr10:uidLastSave="{00000000-0000-0000-0000-000000000000}"/>
  <bookViews>
    <workbookView xWindow="-120" yWindow="-120" windowWidth="29040" windowHeight="15840" tabRatio="500" activeTab="6" xr2:uid="{00000000-000D-0000-FFFF-FFFF00000000}"/>
  </bookViews>
  <sheets>
    <sheet name="Model Notes" sheetId="1" r:id="rId1"/>
    <sheet name="Assumptions" sheetId="2" r:id="rId2"/>
    <sheet name="Initial Investment" sheetId="3" r:id="rId3"/>
    <sheet name="Revenue Model" sheetId="4" r:id="rId4"/>
    <sheet name="Operating Costs" sheetId="5" r:id="rId5"/>
    <sheet name="Funding Mix" sheetId="6" r:id="rId6"/>
    <sheet name="Key Metrics"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9" i="5" l="1"/>
  <c r="B9" i="5"/>
  <c r="D8" i="5"/>
  <c r="E8" i="5" s="1"/>
  <c r="F8" i="5" s="1"/>
  <c r="C8" i="5"/>
  <c r="D7" i="5"/>
  <c r="E7" i="5" s="1"/>
  <c r="F7" i="5" s="1"/>
  <c r="C7" i="5"/>
  <c r="D6" i="5"/>
  <c r="E6" i="5" s="1"/>
  <c r="F6" i="5" s="1"/>
  <c r="C6" i="5"/>
  <c r="D5" i="5"/>
  <c r="C5" i="5"/>
  <c r="D4" i="5"/>
  <c r="E4" i="5" s="1"/>
  <c r="C4" i="5"/>
  <c r="B16" i="4"/>
  <c r="E14" i="4"/>
  <c r="F14" i="4" s="1"/>
  <c r="C14" i="4"/>
  <c r="D14" i="4" s="1"/>
  <c r="C13" i="4"/>
  <c r="D13" i="4" s="1"/>
  <c r="E13" i="4" s="1"/>
  <c r="F13" i="4" s="1"/>
  <c r="B11" i="4"/>
  <c r="B10" i="5" s="1"/>
  <c r="F10" i="4"/>
  <c r="E10" i="4"/>
  <c r="D10" i="4"/>
  <c r="C10" i="4"/>
  <c r="B10" i="4"/>
  <c r="F9" i="4"/>
  <c r="E9" i="4"/>
  <c r="D9" i="4"/>
  <c r="C9" i="4"/>
  <c r="B9" i="4"/>
  <c r="B8" i="4"/>
  <c r="C8" i="4" s="1"/>
  <c r="D8" i="4" s="1"/>
  <c r="C5" i="4"/>
  <c r="D5" i="4" s="1"/>
  <c r="E5" i="4" s="1"/>
  <c r="F5" i="4" s="1"/>
  <c r="C4" i="4"/>
  <c r="B10" i="3"/>
  <c r="B11" i="3" s="1"/>
  <c r="B12" i="3" s="1"/>
  <c r="D11" i="4" l="1"/>
  <c r="D10" i="5" s="1"/>
  <c r="E8" i="4"/>
  <c r="B5" i="2"/>
  <c r="B14" i="3"/>
  <c r="F4" i="5"/>
  <c r="F9" i="5" s="1"/>
  <c r="E9" i="5"/>
  <c r="C11" i="4"/>
  <c r="C10" i="5" s="1"/>
  <c r="B12" i="5"/>
  <c r="D4" i="4"/>
  <c r="B4" i="6"/>
  <c r="C26" i="7"/>
  <c r="D9" i="5"/>
  <c r="E5" i="5"/>
  <c r="F5" i="5" s="1"/>
  <c r="B11" i="5"/>
  <c r="C32" i="7"/>
  <c r="C16" i="4" l="1"/>
  <c r="C4" i="6" s="1"/>
  <c r="E4" i="4"/>
  <c r="D16" i="4"/>
  <c r="D4" i="6" s="1"/>
  <c r="C11" i="5"/>
  <c r="C12" i="5" s="1"/>
  <c r="C5" i="6" s="1"/>
  <c r="C7" i="6" s="1"/>
  <c r="E11" i="4"/>
  <c r="E10" i="5" s="1"/>
  <c r="F8" i="4"/>
  <c r="F11" i="4" s="1"/>
  <c r="F10" i="5" s="1"/>
  <c r="C27" i="7"/>
  <c r="B5" i="6"/>
  <c r="B7" i="6" s="1"/>
  <c r="C33" i="7"/>
  <c r="C34" i="7" s="1"/>
  <c r="B4" i="7"/>
  <c r="B28" i="7"/>
  <c r="B34" i="7"/>
  <c r="D11" i="5"/>
  <c r="D12" i="5" s="1"/>
  <c r="D5" i="6" s="1"/>
  <c r="D7" i="6" s="1"/>
  <c r="B8" i="6" l="1"/>
  <c r="B9" i="6" s="1"/>
  <c r="C15" i="7" s="1"/>
  <c r="E11" i="5"/>
  <c r="E12" i="5" s="1"/>
  <c r="E5" i="6" s="1"/>
  <c r="E7" i="6" s="1"/>
  <c r="B5" i="7"/>
  <c r="C5" i="7" s="1"/>
  <c r="D5" i="7" s="1"/>
  <c r="D6" i="6"/>
  <c r="E4" i="7" s="1"/>
  <c r="D8" i="6"/>
  <c r="D9" i="6" s="1"/>
  <c r="E15" i="7" s="1"/>
  <c r="C6" i="6"/>
  <c r="D4" i="7" s="1"/>
  <c r="C8" i="6"/>
  <c r="C9" i="6" s="1"/>
  <c r="D15" i="7" s="1"/>
  <c r="B6" i="6"/>
  <c r="C4" i="7" s="1"/>
  <c r="C28" i="7"/>
  <c r="B35" i="7"/>
  <c r="C35" i="7" s="1"/>
  <c r="B29" i="7"/>
  <c r="F11" i="5"/>
  <c r="F12" i="5" s="1"/>
  <c r="E16" i="4"/>
  <c r="E4" i="6" s="1"/>
  <c r="F4" i="4"/>
  <c r="F16" i="4" s="1"/>
  <c r="F5" i="6" l="1"/>
  <c r="B23" i="7"/>
  <c r="E5" i="7"/>
  <c r="F4" i="6"/>
  <c r="B22" i="7"/>
  <c r="E8" i="6"/>
  <c r="E9" i="6" s="1"/>
  <c r="F15" i="7" s="1"/>
  <c r="E6" i="6"/>
  <c r="F4" i="7" s="1"/>
  <c r="C29" i="7"/>
  <c r="B8" i="7" l="1"/>
  <c r="C40" i="7" s="1"/>
  <c r="E40" i="7" s="1"/>
  <c r="F8" i="6"/>
  <c r="F9" i="6" s="1"/>
  <c r="G15" i="7" s="1"/>
  <c r="F6" i="6"/>
  <c r="G4" i="7" s="1"/>
  <c r="F5" i="7"/>
  <c r="G5" i="7" s="1"/>
  <c r="B7" i="7"/>
  <c r="D40" i="7" s="1"/>
  <c r="G33" i="7"/>
  <c r="E27" i="7"/>
  <c r="F33" i="7"/>
  <c r="D27" i="7"/>
  <c r="E33" i="7"/>
  <c r="G27" i="7"/>
  <c r="D33" i="7"/>
  <c r="F27" i="7"/>
  <c r="G26" i="7"/>
  <c r="G28" i="7" s="1"/>
  <c r="D26" i="7"/>
  <c r="D28" i="7" s="1"/>
  <c r="F32" i="7"/>
  <c r="F34" i="7" s="1"/>
  <c r="E32" i="7"/>
  <c r="E34" i="7" s="1"/>
  <c r="E26" i="7"/>
  <c r="E28" i="7" s="1"/>
  <c r="F26" i="7"/>
  <c r="G32" i="7"/>
  <c r="D32" i="7"/>
  <c r="F7" i="6"/>
  <c r="D34" i="7" l="1"/>
  <c r="G34" i="7"/>
  <c r="F28" i="7"/>
  <c r="B10" i="7"/>
  <c r="B9" i="7"/>
  <c r="B40" i="7"/>
  <c r="C41" i="7"/>
  <c r="E41" i="7" s="1"/>
  <c r="D41" i="7"/>
  <c r="D29" i="7"/>
  <c r="E29" i="7" s="1"/>
  <c r="F29" i="7" s="1"/>
  <c r="G29" i="7" s="1"/>
  <c r="B41" i="7" s="1"/>
  <c r="C42" i="7" l="1"/>
  <c r="E42" i="7" s="1"/>
  <c r="D42" i="7"/>
  <c r="D35" i="7"/>
  <c r="E35" i="7" s="1"/>
  <c r="F35" i="7" s="1"/>
  <c r="G35" i="7" s="1"/>
  <c r="B42" i="7" s="1"/>
</calcChain>
</file>

<file path=xl/sharedStrings.xml><?xml version="1.0" encoding="utf-8"?>
<sst xmlns="http://schemas.openxmlformats.org/spreadsheetml/2006/main" count="201" uniqueCount="154">
  <si>
    <t>Roar Regiment — Financial Model (Rebuilt)</t>
  </si>
  <si>
    <t>This workbook replaces the original Roar Regiment financial projection. The original file contained two unreconciled sets of numbers — the Revenue Breakdown/Operating Cost tabs used one dataset (BDT 32.5M initial investment, BDT 35–64M revenue range) while the Key Metrics tab computed NPV/IRR/Payback off an entirely different, unexplained dataset (BDT 200M investment, BDT 120–240M revenue range). That inconsistency is the single biggest credibility risk a reviewer would find, so fixing it was the priority for this rebuild.</t>
  </si>
  <si>
    <t>STRUCTURE: every figure in this workbook traces back to the Assumptions tab. Operating Costs, Revenue Model, Funding Mix, and Key Metrics all use formulas that reference Assumptions or one another — there is exactly one place to change a growth rate or a cost line, and it flows through the whole model. Initial Investment is built up from a cost breakdown, not asserted as a round number.</t>
  </si>
  <si>
    <t>REPOSITIONING LOGIC: consistent with the Strategic Repositioning Brief, this model assumes (1) a leaner cost base than the original 4-roster, gaming-house concept, (2) revenue distributed through Banglalink's own Toffee (content/media rights), MyBL (merchandise/loyalty), and Ryze (youth brand) platforms rather than a standalone media operation, and (3) a hybrid funding structure where Banglalink covers the majority of costs in Year 1 and the funding burden shifts toward sponsorship/media-rights revenue over time.</t>
  </si>
  <si>
    <t>HONEST FINDING — read before presenting this model: under the Most Likely case, the venture does NOT reach standalone breakeven within the 5-year horizon. Banglalink's funding requirement narrows from roughly 72% of opex in Year 1 to roughly 26% of opex in Year 5, but the venture remains cash-flow negative throughout. This is disclosed deliberately rather than smoothed over — a reviewer testing the model's assumptions would find this quickly, and it is also a realistic pattern: Toffee itself took from 2020 launch to FY2025 to reach material ad-revenue scale. The Key Metrics tab treats this as a strategic/ecosystem investment with a bounded, declining funding requirement — not as a standalone NPV-positive project — and shows Pessimistic/Optimistic scenarios alongside the Most Likely case so the range is visible rather than hidden behind one number.</t>
  </si>
  <si>
    <t>WHAT IS STILL AN ASSUMPTION, NOT A FACT: sponsorship and media-rights growth rates (45%/yr and 50%/yr respectively) are illustrative, not sourced to specific signed deals — there are none. They are calibrated to be aggressive-but-plausible off a small base, similar in spirit to Toffee's own reported 63% YoY ad-revenue growth. Treat these as the primary lever to stress-test if this model is challenged in an interview setting.</t>
  </si>
  <si>
    <t>SOURCES USED: VEON Integrated Annual Report 2025 (Bangladesh/Banglalink section) for the BDT/USD FX rate, Toffee/MyBL/Ryze user and revenue metrics, and Banglalink's disclosed strategic priorities. Where no external source exists (e.g., specific cost line items, sponsorship deal sizes), the assumption is labeled as an internal estimate in the Notes column of the relevant tab.</t>
  </si>
  <si>
    <t>Assumptions — Single Source of Truth (Most Likely Case)</t>
  </si>
  <si>
    <t>Metric</t>
  </si>
  <si>
    <t>Value</t>
  </si>
  <si>
    <t>Unit</t>
  </si>
  <si>
    <t>Source / Rationale</t>
  </si>
  <si>
    <t>GENERAL</t>
  </si>
  <si>
    <t>Initial Investment (Banglalink Seed)</t>
  </si>
  <si>
    <t>BDT</t>
  </si>
  <si>
    <t>Linked from Initial Investment tab (built up from cost breakdown)</t>
  </si>
  <si>
    <t>Discount Rate (illustrative)</t>
  </si>
  <si>
    <t>%</t>
  </si>
  <si>
    <t>Illustrative emerging-market digital-venture discount rate; not Banglalink's actual disclosed WACC</t>
  </si>
  <si>
    <t>BDT / USD Exchange Rate</t>
  </si>
  <si>
    <t>BDT per USD</t>
  </si>
  <si>
    <t>Source: VEON Integrated Annual Report 2025, FY2025 average rate</t>
  </si>
  <si>
    <t>COST GROWTH RATES (per annum)</t>
  </si>
  <si>
    <t>Player Salaries &amp; Coaching</t>
  </si>
  <si>
    <t>%/yr</t>
  </si>
  <si>
    <t>Lean, mostly-stable headcount; inflation-level increases</t>
  </si>
  <si>
    <t>Content Production (Toffee distribution)</t>
  </si>
  <si>
    <t>Scales with content slate as audience grows</t>
  </si>
  <si>
    <t>Marketing &amp; Fan Engagement (Ryze/MyBL)</t>
  </si>
  <si>
    <t>Internal estimate</t>
  </si>
  <si>
    <t>Platform &amp; Tech Integration</t>
  </si>
  <si>
    <t>Mostly fixed integration cost — asset-light logic</t>
  </si>
  <si>
    <t>Travel &amp; Tournament Participation</t>
  </si>
  <si>
    <t>Merchandise COGS (% of merch revenue)</t>
  </si>
  <si>
    <t>Industry-typical apparel/merch COGS ratio</t>
  </si>
  <si>
    <t>Contingency (% of subtotal opex)</t>
  </si>
  <si>
    <t>Standard contingency buffer</t>
  </si>
  <si>
    <t>REVENUE GROWTH RATES (per annum)</t>
  </si>
  <si>
    <t>Sponsorship</t>
  </si>
  <si>
    <t>Illustrative — no signed deals exist; aggressive-but-plausible off small base</t>
  </si>
  <si>
    <t>Media Rights (Toffee content revenue share)</t>
  </si>
  <si>
    <t>Calibrated near Toffee's own reported 63% YoY ad-revenue growth (FY2025)</t>
  </si>
  <si>
    <t>Merch Fanbase Growth</t>
  </si>
  <si>
    <t>Benchmarked near Banglalink Multiplay adoption growth (23.6% YoY, FY2025)</t>
  </si>
  <si>
    <t>Academy / Fan Engagement</t>
  </si>
  <si>
    <t>Prize Money &amp; Content Monetization</t>
  </si>
  <si>
    <t>Deliberately modest — not a strategic revenue driver</t>
  </si>
  <si>
    <t>MERCHANDISE ASSUMPTIONS</t>
  </si>
  <si>
    <t>Year 1 Fanbase (merch-eligible)</t>
  </si>
  <si>
    <t>people</t>
  </si>
  <si>
    <t>Deliberately conservative vs. original file's unsupported 100,000</t>
  </si>
  <si>
    <t>Conversion Rate (fans to buyers)</t>
  </si>
  <si>
    <t>Industry-typical range, retained from original file</t>
  </si>
  <si>
    <t>AOV per Buyer (BDT/year)</t>
  </si>
  <si>
    <t>Retained near original file's assumption, held flat across years (conservative)</t>
  </si>
  <si>
    <t>SCENARIO SENSITIVITY MULTIPLIERS (applied to blended 5-yr CAGR — see Key Metrics)</t>
  </si>
  <si>
    <t>Pessimistic — Revenue Growth Multiplier</t>
  </si>
  <si>
    <t>x</t>
  </si>
  <si>
    <t>Slower sponsor/media-rights uptake</t>
  </si>
  <si>
    <t>Pessimistic — Opex Growth Multiplier</t>
  </si>
  <si>
    <t>Cost overruns / slower efficiency gains</t>
  </si>
  <si>
    <t>Optimistic — Revenue Growth Multiplier</t>
  </si>
  <si>
    <t>Faster sponsor/media-rights uptake</t>
  </si>
  <si>
    <t>Optimistic — Opex Growth Multiplier</t>
  </si>
  <si>
    <t>Faster efficiency gains from platform integration</t>
  </si>
  <si>
    <t>Initial Investment — Banglalink Seed Capital</t>
  </si>
  <si>
    <t>Cost Head</t>
  </si>
  <si>
    <t>Amount (BDT)</t>
  </si>
  <si>
    <t>Notes</t>
  </si>
  <si>
    <t>Content Production &amp; Broadcast Setup (Toffee integration)</t>
  </si>
  <si>
    <t>Cameras, editing, streaming setup to plug into Toffee's content pipeline</t>
  </si>
  <si>
    <t>Player / Roster Signing &amp; Launch Salary Buffer</t>
  </si>
  <si>
    <t>Covers first-quarter salaries ahead of revenue ramp</t>
  </si>
  <si>
    <t>Academy Setup (trials, coaching infrastructure)</t>
  </si>
  <si>
    <t>Lean academy — not a full gaming house</t>
  </si>
  <si>
    <t>Brand Integration &amp; Launch Marketing (Ryze / MyBL)</t>
  </si>
  <si>
    <t>Co-branded launch campaign through existing apps</t>
  </si>
  <si>
    <t>Merchandise &amp; E-Store Setup (MyBL commerce integration)</t>
  </si>
  <si>
    <t>Uses MyBL's existing commerce rails, not a bespoke store</t>
  </si>
  <si>
    <t>Platform &amp; Tech Integration (Toffee/MyBL API, loyalty system)</t>
  </si>
  <si>
    <t>One-time integration cost — internal estimate</t>
  </si>
  <si>
    <t>Subtotal</t>
  </si>
  <si>
    <t>Contingency (8% of subtotal)</t>
  </si>
  <si>
    <t>Standard contingency for a launch-stage capital budget</t>
  </si>
  <si>
    <t>TOTAL INITIAL INVESTMENT</t>
  </si>
  <si>
    <t>USD equivalent at FY2025 average rate:</t>
  </si>
  <si>
    <t>Revenue Model — Years 1 to 5 (Most Likely Case)</t>
  </si>
  <si>
    <t>Revenue Stream</t>
  </si>
  <si>
    <t>Year 1</t>
  </si>
  <si>
    <t>Year 2</t>
  </si>
  <si>
    <t>Year 3</t>
  </si>
  <si>
    <t>Year 4</t>
  </si>
  <si>
    <t>Year 5</t>
  </si>
  <si>
    <t>Sponsorship (Banglalink anchor + brand partners)</t>
  </si>
  <si>
    <t>Illustrative — see Model Notes. No signed sponsorship deals exist.</t>
  </si>
  <si>
    <t>Content licensed to Toffee's ad-supported slate; growth rate near Toffee's own FY2025 ad-revenue growth</t>
  </si>
  <si>
    <t>Merchandise (transacted via MyBL)</t>
  </si>
  <si>
    <t>Fanbase (merch-eligible)</t>
  </si>
  <si>
    <t>Conversion Rate</t>
  </si>
  <si>
    <t>AOV per Buyer (BDT/yr)</t>
  </si>
  <si>
    <t>Merchandise Revenue</t>
  </si>
  <si>
    <t>Academy / Fan Engagement (fees, ticketed events)</t>
  </si>
  <si>
    <t>Deliberately modest — prize winnings are not a strategic driver of this venture</t>
  </si>
  <si>
    <t>TOTAL REVENUE</t>
  </si>
  <si>
    <t>Operating Costs — Years 1 to 5 (Most Likely Case)</t>
  </si>
  <si>
    <t>Cost Item</t>
  </si>
  <si>
    <t>Player Salaries &amp; Coaching (lean roster + academy)</t>
  </si>
  <si>
    <t>2–3 competitive titles, not 4 — see Repositioning Brief</t>
  </si>
  <si>
    <t>Content Production (for Toffee distribution)</t>
  </si>
  <si>
    <t>Marketing &amp; Fan Engagement (Ryze / MyBL channels)</t>
  </si>
  <si>
    <t>Platform &amp; Tech Integration / Maintenance</t>
  </si>
  <si>
    <t>Low marginal growth — reuses Toffee/MyBL infrastructure (asset-light logic)</t>
  </si>
  <si>
    <t>Subtotal (Core Opex)</t>
  </si>
  <si>
    <t>Merchandise COGS</t>
  </si>
  <si>
    <t>Equals Merchandise Revenue (Revenue Model tab) × COGS % (Assumptions tab)</t>
  </si>
  <si>
    <t>Contingency</t>
  </si>
  <si>
    <t>TOTAL OPERATING COSTS</t>
  </si>
  <si>
    <t>Funding Mix — Hybrid Model (Banglalink Seed → Sponsor/Media-Rights Funded)</t>
  </si>
  <si>
    <t>Total Revenue</t>
  </si>
  <si>
    <t>Total Operating Costs</t>
  </si>
  <si>
    <t>Net Venture Cash Flow (Revenue − Opex)</t>
  </si>
  <si>
    <t>Banglalink Funding Requirement</t>
  </si>
  <si>
    <t>Revenue-Funded Share of Opex</t>
  </si>
  <si>
    <t>Banglalink-Funded Share of Opex</t>
  </si>
  <si>
    <t>Reading this table: Year 1 shows Banglalink funding roughly three-quarters of operating costs, consistent with a seed-funded launch. That share should decline each year as sponsorship and Toffee media-rights revenue scale. See Key Metrics tab for whether this reaches the “majority third-party funded” threshold described in the Strategic Repositioning Brief, and by when.</t>
  </si>
  <si>
    <t>Key Metrics — NPV, IRR, Payback, ROI, and Scenario Sensitivity</t>
  </si>
  <si>
    <t>Year 0</t>
  </si>
  <si>
    <t>Net Cash Flow (Banglalink perspective)</t>
  </si>
  <si>
    <t>Cumulative Net Cash Flow</t>
  </si>
  <si>
    <t>NPV (at Assumptions discount rate)</t>
  </si>
  <si>
    <t>IRR (5-year horizon)</t>
  </si>
  <si>
    <t>Breakeven achieved within 5 years?</t>
  </si>
  <si>
    <t>5-Year Return on Initial Investment</t>
  </si>
  <si>
    <t>Most Likely case reads negative on NPV/ROI and “not computable” on IRR because cash flows do not cross zero within 5 years. That is the honest output of this model, not an error — see Model Notes. The metric that matters here is the Funding Intensity trend below: is Banglalink's exposure shrinking and bounded, or open-ended?</t>
  </si>
  <si>
    <t>FUNDING INTENSITY TREND (Banglalink-Funded Share of Opex, linked from Funding Mix)</t>
  </si>
  <si>
    <t>Interpretation: the Most Likely case does not reach full third-party funding within the plan horizon, but the trend is consistently downward — Banglalink's exposure per year shrinks even though the venture has not fully broken even. That is a materially more defensible claim than the original file's flat, unexplained sponsorship assumption.</t>
  </si>
  <si>
    <t>SCENARIO SENSITIVITY (blended CAGR method — see Model Notes for methodology)</t>
  </si>
  <si>
    <t>Revenue CAGR, Year 1→Year 5 (Most Likely, implied)</t>
  </si>
  <si>
    <t>Opex CAGR, Year 1→Year 5 (Most Likely, implied)</t>
  </si>
  <si>
    <t>Pessimistic (Rev x Scenario</t>
  </si>
  <si>
    <t>Revenue (extrapolated)</t>
  </si>
  <si>
    <t>Opex (extrapolated)</t>
  </si>
  <si>
    <t>Net Cash Flow</t>
  </si>
  <si>
    <t>Optimistic Scenario</t>
  </si>
  <si>
    <t>SCENARIO SUMMARY</t>
  </si>
  <si>
    <t>Scenario</t>
  </si>
  <si>
    <t>Cumulative Net CF, Year 5</t>
  </si>
  <si>
    <t>IRR (5-yr)</t>
  </si>
  <si>
    <t>NPV</t>
  </si>
  <si>
    <t>IRR Computable?</t>
  </si>
  <si>
    <t>Most Likely</t>
  </si>
  <si>
    <t>Pessimistic</t>
  </si>
  <si>
    <t>Optimistic</t>
  </si>
  <si>
    <t>Note on IRR “n.a.” results: Pessimistic never turns cash-flow positive, so IRR is genuinely undefined. Optimistic turns positive only in Year 5 by a small margin after four deeply negative years — IRR is mathematically defined there (≈ –61%, i.e. still a poor return) but standard iterative solvers, including Excel's, frequently fail to converge on that shape of cash flow. NPV and Cumulative Net Cash Flow are the more reliable reads for this venture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</si>
</sst>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
    <numFmt numFmtId="167" formatCode="0.00\x"/>
    <numFmt numFmtId="168" formatCode="\$#,##0"/>
  </numFmts>
  <fonts count="9" x14ac:knownFonts="1">
    <font>
      <sz val="11"/>
      <color theme="1"/>
      <name val="Calibri"/>
      <family val="2"/>
      <charset val="1"/>
    </font>
    <font>
      <b/>
      <sz val="14"/>
      <color rgb="FF1F3864"/>
      <name val="Cambria"/>
      <charset val="1"/>
    </font>
    <font>
      <b/>
      <sz val="11"/>
      <color rgb="FFFFFFFF"/>
      <name val="Cambria"/>
      <charset val="1"/>
    </font>
    <font>
      <sz val="11"/>
      <color rgb="FF008000"/>
      <name val="Cambria"/>
      <charset val="1"/>
    </font>
    <font>
      <sz val="11"/>
      <color rgb="FF0000FF"/>
      <name val="Cambria"/>
      <charset val="1"/>
    </font>
    <font>
      <b/>
      <sz val="11"/>
      <name val="Cambria"/>
      <charset val="1"/>
    </font>
    <font>
      <b/>
      <sz val="14"/>
      <color rgb="FF1F3864"/>
      <name val="Cambria"/>
      <family val="1"/>
    </font>
    <font>
      <sz val="9"/>
      <name val="Cambria"/>
      <family val="1"/>
    </font>
    <font>
      <sz val="11"/>
      <name val="Calibri"/>
      <family val="2"/>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1" fillId="0" borderId="0" xfId="0" applyFont="1"/>
    <xf numFmtId="0" fontId="2" fillId="2" borderId="1" xfId="0" applyFont="1" applyFill="1" applyBorder="1" applyAlignment="1">
      <alignment horizontal="center" wrapText="1"/>
    </xf>
    <xf numFmtId="0" fontId="2" fillId="2" borderId="0" xfId="0" applyFont="1" applyFill="1"/>
    <xf numFmtId="0" fontId="0" fillId="0" borderId="1" xfId="0" applyBorder="1"/>
    <xf numFmtId="164" fontId="3" fillId="0" borderId="1" xfId="0" applyNumberFormat="1" applyFont="1" applyBorder="1"/>
    <xf numFmtId="165" fontId="4" fillId="3" borderId="1" xfId="0" applyNumberFormat="1" applyFont="1" applyFill="1" applyBorder="1"/>
    <xf numFmtId="166" fontId="4" fillId="3" borderId="1" xfId="0" applyNumberFormat="1" applyFont="1" applyFill="1" applyBorder="1"/>
    <xf numFmtId="3" fontId="4" fillId="3" borderId="1" xfId="0" applyNumberFormat="1" applyFont="1" applyFill="1" applyBorder="1"/>
    <xf numFmtId="164" fontId="4" fillId="3" borderId="1" xfId="0" applyNumberFormat="1" applyFont="1" applyFill="1" applyBorder="1"/>
    <xf numFmtId="167" fontId="4" fillId="3" borderId="1" xfId="0" applyNumberFormat="1" applyFont="1" applyFill="1" applyBorder="1"/>
    <xf numFmtId="0" fontId="5" fillId="0" borderId="0" xfId="0" applyFont="1"/>
    <xf numFmtId="164" fontId="5" fillId="0" borderId="0" xfId="0" applyNumberFormat="1" applyFont="1"/>
    <xf numFmtId="164" fontId="0" fillId="0" borderId="0" xfId="0" applyNumberFormat="1"/>
    <xf numFmtId="164" fontId="5" fillId="4" borderId="0" xfId="0" applyNumberFormat="1" applyFont="1" applyFill="1"/>
    <xf numFmtId="168" fontId="3" fillId="0" borderId="0" xfId="0" applyNumberFormat="1" applyFont="1"/>
    <xf numFmtId="164" fontId="0" fillId="0" borderId="1" xfId="0" applyNumberFormat="1" applyBorder="1"/>
    <xf numFmtId="0" fontId="2" fillId="2" borderId="1" xfId="0" applyFont="1" applyFill="1" applyBorder="1"/>
    <xf numFmtId="3" fontId="3" fillId="0" borderId="1" xfId="0" applyNumberFormat="1" applyFont="1" applyBorder="1"/>
    <xf numFmtId="3" fontId="0" fillId="0" borderId="1" xfId="0" applyNumberFormat="1" applyBorder="1"/>
    <xf numFmtId="165" fontId="3" fillId="0" borderId="1" xfId="0" applyNumberFormat="1" applyFont="1" applyBorder="1"/>
    <xf numFmtId="0" fontId="5" fillId="0" borderId="1" xfId="0" applyFont="1" applyBorder="1"/>
    <xf numFmtId="164" fontId="5" fillId="0" borderId="1" xfId="0" applyNumberFormat="1" applyFont="1" applyBorder="1"/>
    <xf numFmtId="164" fontId="5" fillId="4" borderId="1" xfId="0" applyNumberFormat="1" applyFont="1" applyFill="1" applyBorder="1"/>
    <xf numFmtId="165" fontId="0" fillId="0" borderId="1" xfId="0" applyNumberFormat="1" applyBorder="1"/>
    <xf numFmtId="0" fontId="1" fillId="0" borderId="0" xfId="0" applyFont="1" applyAlignment="1">
      <alignment horizontal="center"/>
    </xf>
    <xf numFmtId="0" fontId="6" fillId="0" borderId="0" xfId="0" applyFont="1"/>
    <xf numFmtId="0" fontId="0"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showGridLines="0" zoomScaleNormal="100" workbookViewId="0">
      <selection activeCell="A28" sqref="A28"/>
    </sheetView>
  </sheetViews>
  <sheetFormatPr defaultColWidth="8.7109375" defaultRowHeight="15" x14ac:dyDescent="0.25"/>
  <cols>
    <col min="1" max="1" width="110" style="27" customWidth="1"/>
    <col min="2" max="16384" width="8.7109375" style="27"/>
  </cols>
  <sheetData>
    <row r="1" spans="1:1" ht="18" x14ac:dyDescent="0.25">
      <c r="A1" s="26" t="s">
        <v>0</v>
      </c>
    </row>
    <row r="3" spans="1:1" s="29" customFormat="1" ht="25.5" customHeight="1" x14ac:dyDescent="0.25">
      <c r="A3" s="28" t="s">
        <v>1</v>
      </c>
    </row>
    <row r="4" spans="1:1" s="29" customFormat="1" x14ac:dyDescent="0.25"/>
    <row r="5" spans="1:1" s="29" customFormat="1" x14ac:dyDescent="0.25"/>
    <row r="6" spans="1:1" s="29" customFormat="1" x14ac:dyDescent="0.25"/>
    <row r="7" spans="1:1" s="29" customFormat="1" ht="25.5" customHeight="1" x14ac:dyDescent="0.25">
      <c r="A7" s="28" t="s">
        <v>2</v>
      </c>
    </row>
    <row r="8" spans="1:1" s="29" customFormat="1" x14ac:dyDescent="0.25"/>
    <row r="9" spans="1:1" s="29" customFormat="1" x14ac:dyDescent="0.25"/>
    <row r="10" spans="1:1" s="29" customFormat="1" x14ac:dyDescent="0.25"/>
    <row r="11" spans="1:1" s="29" customFormat="1" ht="25.5" customHeight="1" x14ac:dyDescent="0.25">
      <c r="A11" s="28" t="s">
        <v>3</v>
      </c>
    </row>
    <row r="12" spans="1:1" s="29" customFormat="1" x14ac:dyDescent="0.25"/>
    <row r="13" spans="1:1" s="29" customFormat="1" x14ac:dyDescent="0.25"/>
    <row r="14" spans="1:1" s="29" customFormat="1" x14ac:dyDescent="0.25"/>
    <row r="15" spans="1:1" s="29" customFormat="1" ht="25.5" customHeight="1" x14ac:dyDescent="0.25">
      <c r="A15" s="28" t="s">
        <v>4</v>
      </c>
    </row>
    <row r="16" spans="1:1" s="29" customFormat="1" x14ac:dyDescent="0.25"/>
    <row r="17" spans="1:1" s="29" customFormat="1" x14ac:dyDescent="0.25"/>
    <row r="18" spans="1:1" s="29" customFormat="1" x14ac:dyDescent="0.25"/>
    <row r="19" spans="1:1" s="29" customFormat="1" ht="25.5" customHeight="1" x14ac:dyDescent="0.25">
      <c r="A19" s="28" t="s">
        <v>5</v>
      </c>
    </row>
    <row r="20" spans="1:1" s="29" customFormat="1" x14ac:dyDescent="0.25"/>
    <row r="21" spans="1:1" s="29" customFormat="1" x14ac:dyDescent="0.25"/>
    <row r="22" spans="1:1" s="29" customFormat="1" x14ac:dyDescent="0.25"/>
    <row r="23" spans="1:1" s="29" customFormat="1" ht="25.5" customHeight="1" x14ac:dyDescent="0.25">
      <c r="A23" s="28" t="s">
        <v>6</v>
      </c>
    </row>
  </sheetData>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4"/>
  <sheetViews>
    <sheetView showGridLines="0" zoomScaleNormal="100" workbookViewId="0">
      <selection activeCell="L22" sqref="L22"/>
    </sheetView>
  </sheetViews>
  <sheetFormatPr defaultColWidth="8.7109375" defaultRowHeight="15" x14ac:dyDescent="0.25"/>
  <cols>
    <col min="1" max="1" width="42" customWidth="1"/>
    <col min="2" max="2" width="16" customWidth="1"/>
    <col min="3" max="3" width="14" customWidth="1"/>
    <col min="4" max="4" width="55" customWidth="1"/>
  </cols>
  <sheetData>
    <row r="1" spans="1:4" ht="18" x14ac:dyDescent="0.25">
      <c r="A1" s="1" t="s">
        <v>7</v>
      </c>
    </row>
    <row r="3" spans="1:4" x14ac:dyDescent="0.25">
      <c r="A3" s="2" t="s">
        <v>8</v>
      </c>
      <c r="B3" s="2" t="s">
        <v>9</v>
      </c>
      <c r="C3" s="2" t="s">
        <v>10</v>
      </c>
      <c r="D3" s="2" t="s">
        <v>11</v>
      </c>
    </row>
    <row r="4" spans="1:4" x14ac:dyDescent="0.25">
      <c r="A4" s="3" t="s">
        <v>12</v>
      </c>
      <c r="B4" s="3"/>
      <c r="C4" s="3"/>
      <c r="D4" s="3"/>
    </row>
    <row r="5" spans="1:4" x14ac:dyDescent="0.25">
      <c r="A5" s="4" t="s">
        <v>13</v>
      </c>
      <c r="B5" s="5">
        <f>'Initial Investment'!B12</f>
        <v>28080000</v>
      </c>
      <c r="C5" s="4" t="s">
        <v>14</v>
      </c>
      <c r="D5" s="30" t="s">
        <v>15</v>
      </c>
    </row>
    <row r="6" spans="1:4" x14ac:dyDescent="0.25">
      <c r="A6" s="4" t="s">
        <v>16</v>
      </c>
      <c r="B6" s="6">
        <v>0.12</v>
      </c>
      <c r="C6" s="4" t="s">
        <v>17</v>
      </c>
      <c r="D6" s="30" t="s">
        <v>18</v>
      </c>
    </row>
    <row r="7" spans="1:4" x14ac:dyDescent="0.25">
      <c r="A7" s="4" t="s">
        <v>19</v>
      </c>
      <c r="B7" s="7">
        <v>121.7</v>
      </c>
      <c r="C7" s="4" t="s">
        <v>20</v>
      </c>
      <c r="D7" s="30" t="s">
        <v>21</v>
      </c>
    </row>
    <row r="9" spans="1:4" x14ac:dyDescent="0.25">
      <c r="A9" s="3" t="s">
        <v>22</v>
      </c>
      <c r="B9" s="3"/>
      <c r="C9" s="3"/>
      <c r="D9" s="3"/>
    </row>
    <row r="10" spans="1:4" x14ac:dyDescent="0.25">
      <c r="A10" s="4" t="s">
        <v>23</v>
      </c>
      <c r="B10" s="6">
        <v>0.08</v>
      </c>
      <c r="C10" s="4" t="s">
        <v>24</v>
      </c>
      <c r="D10" s="30" t="s">
        <v>25</v>
      </c>
    </row>
    <row r="11" spans="1:4" x14ac:dyDescent="0.25">
      <c r="A11" s="4" t="s">
        <v>26</v>
      </c>
      <c r="B11" s="6">
        <v>0.12</v>
      </c>
      <c r="C11" s="4" t="s">
        <v>24</v>
      </c>
      <c r="D11" s="30" t="s">
        <v>27</v>
      </c>
    </row>
    <row r="12" spans="1:4" x14ac:dyDescent="0.25">
      <c r="A12" s="4" t="s">
        <v>28</v>
      </c>
      <c r="B12" s="6">
        <v>0.1</v>
      </c>
      <c r="C12" s="4" t="s">
        <v>24</v>
      </c>
      <c r="D12" s="30" t="s">
        <v>29</v>
      </c>
    </row>
    <row r="13" spans="1:4" x14ac:dyDescent="0.25">
      <c r="A13" s="4" t="s">
        <v>30</v>
      </c>
      <c r="B13" s="6">
        <v>0.06</v>
      </c>
      <c r="C13" s="4" t="s">
        <v>24</v>
      </c>
      <c r="D13" s="30" t="s">
        <v>31</v>
      </c>
    </row>
    <row r="14" spans="1:4" x14ac:dyDescent="0.25">
      <c r="A14" s="4" t="s">
        <v>32</v>
      </c>
      <c r="B14" s="6">
        <v>0.1</v>
      </c>
      <c r="C14" s="4" t="s">
        <v>24</v>
      </c>
      <c r="D14" s="30" t="s">
        <v>29</v>
      </c>
    </row>
    <row r="15" spans="1:4" x14ac:dyDescent="0.25">
      <c r="A15" s="4" t="s">
        <v>33</v>
      </c>
      <c r="B15" s="6">
        <v>0.4</v>
      </c>
      <c r="C15" s="4" t="s">
        <v>17</v>
      </c>
      <c r="D15" s="30" t="s">
        <v>34</v>
      </c>
    </row>
    <row r="16" spans="1:4" x14ac:dyDescent="0.25">
      <c r="A16" s="4" t="s">
        <v>35</v>
      </c>
      <c r="B16" s="6">
        <v>0.05</v>
      </c>
      <c r="C16" s="4" t="s">
        <v>17</v>
      </c>
      <c r="D16" s="30" t="s">
        <v>36</v>
      </c>
    </row>
    <row r="18" spans="1:4" x14ac:dyDescent="0.25">
      <c r="A18" s="3" t="s">
        <v>37</v>
      </c>
      <c r="B18" s="3"/>
      <c r="C18" s="3"/>
      <c r="D18" s="3"/>
    </row>
    <row r="19" spans="1:4" x14ac:dyDescent="0.25">
      <c r="A19" s="4" t="s">
        <v>38</v>
      </c>
      <c r="B19" s="6">
        <v>0.45</v>
      </c>
      <c r="C19" s="4" t="s">
        <v>24</v>
      </c>
      <c r="D19" s="30" t="s">
        <v>39</v>
      </c>
    </row>
    <row r="20" spans="1:4" x14ac:dyDescent="0.25">
      <c r="A20" s="4" t="s">
        <v>40</v>
      </c>
      <c r="B20" s="6">
        <v>0.5</v>
      </c>
      <c r="C20" s="4" t="s">
        <v>24</v>
      </c>
      <c r="D20" s="30" t="s">
        <v>41</v>
      </c>
    </row>
    <row r="21" spans="1:4" x14ac:dyDescent="0.25">
      <c r="A21" s="4" t="s">
        <v>42</v>
      </c>
      <c r="B21" s="6">
        <v>0.2</v>
      </c>
      <c r="C21" s="4" t="s">
        <v>24</v>
      </c>
      <c r="D21" s="30" t="s">
        <v>43</v>
      </c>
    </row>
    <row r="22" spans="1:4" x14ac:dyDescent="0.25">
      <c r="A22" s="4" t="s">
        <v>44</v>
      </c>
      <c r="B22" s="6">
        <v>0.25</v>
      </c>
      <c r="C22" s="4" t="s">
        <v>24</v>
      </c>
      <c r="D22" s="30" t="s">
        <v>29</v>
      </c>
    </row>
    <row r="23" spans="1:4" x14ac:dyDescent="0.25">
      <c r="A23" s="4" t="s">
        <v>45</v>
      </c>
      <c r="B23" s="6">
        <v>0.1</v>
      </c>
      <c r="C23" s="4" t="s">
        <v>24</v>
      </c>
      <c r="D23" s="30" t="s">
        <v>46</v>
      </c>
    </row>
    <row r="25" spans="1:4" x14ac:dyDescent="0.25">
      <c r="A25" s="3" t="s">
        <v>47</v>
      </c>
      <c r="B25" s="3"/>
      <c r="C25" s="3"/>
      <c r="D25" s="3"/>
    </row>
    <row r="26" spans="1:4" x14ac:dyDescent="0.25">
      <c r="A26" s="4" t="s">
        <v>48</v>
      </c>
      <c r="B26" s="8">
        <v>40000</v>
      </c>
      <c r="C26" s="4" t="s">
        <v>49</v>
      </c>
      <c r="D26" s="30" t="s">
        <v>50</v>
      </c>
    </row>
    <row r="27" spans="1:4" x14ac:dyDescent="0.25">
      <c r="A27" s="4" t="s">
        <v>51</v>
      </c>
      <c r="B27" s="6">
        <v>0.03</v>
      </c>
      <c r="C27" s="4" t="s">
        <v>17</v>
      </c>
      <c r="D27" s="30" t="s">
        <v>52</v>
      </c>
    </row>
    <row r="28" spans="1:4" x14ac:dyDescent="0.25">
      <c r="A28" s="4" t="s">
        <v>53</v>
      </c>
      <c r="B28" s="9">
        <v>800</v>
      </c>
      <c r="C28" s="4" t="s">
        <v>14</v>
      </c>
      <c r="D28" s="30" t="s">
        <v>54</v>
      </c>
    </row>
    <row r="30" spans="1:4" x14ac:dyDescent="0.25">
      <c r="A30" s="3" t="s">
        <v>55</v>
      </c>
      <c r="B30" s="3"/>
      <c r="C30" s="3"/>
      <c r="D30" s="3"/>
    </row>
    <row r="31" spans="1:4" x14ac:dyDescent="0.25">
      <c r="A31" s="4" t="s">
        <v>56</v>
      </c>
      <c r="B31" s="10">
        <v>0.6</v>
      </c>
      <c r="C31" s="4" t="s">
        <v>57</v>
      </c>
      <c r="D31" s="30" t="s">
        <v>58</v>
      </c>
    </row>
    <row r="32" spans="1:4" x14ac:dyDescent="0.25">
      <c r="A32" s="4" t="s">
        <v>59</v>
      </c>
      <c r="B32" s="10">
        <v>1.1499999999999999</v>
      </c>
      <c r="C32" s="4" t="s">
        <v>57</v>
      </c>
      <c r="D32" s="30" t="s">
        <v>60</v>
      </c>
    </row>
    <row r="33" spans="1:4" x14ac:dyDescent="0.25">
      <c r="A33" s="4" t="s">
        <v>61</v>
      </c>
      <c r="B33" s="10">
        <v>1.4</v>
      </c>
      <c r="C33" s="4" t="s">
        <v>57</v>
      </c>
      <c r="D33" s="30" t="s">
        <v>62</v>
      </c>
    </row>
    <row r="34" spans="1:4" x14ac:dyDescent="0.25">
      <c r="A34" s="4" t="s">
        <v>63</v>
      </c>
      <c r="B34" s="10">
        <v>0.9</v>
      </c>
      <c r="C34" s="4" t="s">
        <v>57</v>
      </c>
      <c r="D34" s="30" t="s">
        <v>64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showGridLines="0" zoomScaleNormal="100" workbookViewId="0">
      <selection activeCell="A21" sqref="A21"/>
    </sheetView>
  </sheetViews>
  <sheetFormatPr defaultColWidth="8.7109375" defaultRowHeight="15" x14ac:dyDescent="0.25"/>
  <cols>
    <col min="1" max="1" width="48" customWidth="1"/>
    <col min="2" max="2" width="18" customWidth="1"/>
    <col min="3" max="3" width="55" customWidth="1"/>
  </cols>
  <sheetData>
    <row r="1" spans="1:3" ht="18" x14ac:dyDescent="0.25">
      <c r="A1" s="1" t="s">
        <v>65</v>
      </c>
    </row>
    <row r="3" spans="1:3" x14ac:dyDescent="0.25">
      <c r="A3" s="2" t="s">
        <v>66</v>
      </c>
      <c r="B3" s="2" t="s">
        <v>67</v>
      </c>
      <c r="C3" s="2" t="s">
        <v>68</v>
      </c>
    </row>
    <row r="4" spans="1:3" x14ac:dyDescent="0.25">
      <c r="A4" s="4" t="s">
        <v>69</v>
      </c>
      <c r="B4" s="9">
        <v>6000000</v>
      </c>
      <c r="C4" s="30" t="s">
        <v>70</v>
      </c>
    </row>
    <row r="5" spans="1:3" x14ac:dyDescent="0.25">
      <c r="A5" s="4" t="s">
        <v>71</v>
      </c>
      <c r="B5" s="9">
        <v>5000000</v>
      </c>
      <c r="C5" s="30" t="s">
        <v>72</v>
      </c>
    </row>
    <row r="6" spans="1:3" x14ac:dyDescent="0.25">
      <c r="A6" s="4" t="s">
        <v>73</v>
      </c>
      <c r="B6" s="9">
        <v>4000000</v>
      </c>
      <c r="C6" s="30" t="s">
        <v>74</v>
      </c>
    </row>
    <row r="7" spans="1:3" x14ac:dyDescent="0.25">
      <c r="A7" s="4" t="s">
        <v>75</v>
      </c>
      <c r="B7" s="9">
        <v>5000000</v>
      </c>
      <c r="C7" s="30" t="s">
        <v>76</v>
      </c>
    </row>
    <row r="8" spans="1:3" x14ac:dyDescent="0.25">
      <c r="A8" s="4" t="s">
        <v>77</v>
      </c>
      <c r="B8" s="9">
        <v>2000000</v>
      </c>
      <c r="C8" s="30" t="s">
        <v>78</v>
      </c>
    </row>
    <row r="9" spans="1:3" x14ac:dyDescent="0.25">
      <c r="A9" s="4" t="s">
        <v>79</v>
      </c>
      <c r="B9" s="9">
        <v>4000000</v>
      </c>
      <c r="C9" s="30" t="s">
        <v>80</v>
      </c>
    </row>
    <row r="10" spans="1:3" x14ac:dyDescent="0.25">
      <c r="A10" s="11" t="s">
        <v>81</v>
      </c>
      <c r="B10" s="12">
        <f>SUM(B4:B9)</f>
        <v>26000000</v>
      </c>
      <c r="C10" s="29"/>
    </row>
    <row r="11" spans="1:3" x14ac:dyDescent="0.25">
      <c r="A11" t="s">
        <v>82</v>
      </c>
      <c r="B11" s="13">
        <f>B10*0.08</f>
        <v>2080000</v>
      </c>
      <c r="C11" s="28" t="s">
        <v>83</v>
      </c>
    </row>
    <row r="12" spans="1:3" x14ac:dyDescent="0.25">
      <c r="A12" s="11" t="s">
        <v>84</v>
      </c>
      <c r="B12" s="14">
        <f>B10+B11</f>
        <v>28080000</v>
      </c>
    </row>
    <row r="14" spans="1:3" ht="25.5" customHeight="1" x14ac:dyDescent="0.25">
      <c r="A14" s="28" t="s">
        <v>85</v>
      </c>
      <c r="B14" s="15">
        <f>B12/Assumptions!$B$7</f>
        <v>230731.30649137223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
  <sheetViews>
    <sheetView showGridLines="0" zoomScaleNormal="100" workbookViewId="0">
      <selection activeCell="F27" sqref="F27"/>
    </sheetView>
  </sheetViews>
  <sheetFormatPr defaultColWidth="8.7109375" defaultRowHeight="15" x14ac:dyDescent="0.25"/>
  <cols>
    <col min="1" max="1" width="38" customWidth="1"/>
    <col min="2" max="6" width="15" customWidth="1"/>
    <col min="7" max="7" width="40" customWidth="1"/>
  </cols>
  <sheetData>
    <row r="1" spans="1:7" ht="18" x14ac:dyDescent="0.25">
      <c r="A1" s="1" t="s">
        <v>86</v>
      </c>
    </row>
    <row r="3" spans="1:7" x14ac:dyDescent="0.25">
      <c r="A3" s="2" t="s">
        <v>87</v>
      </c>
      <c r="B3" s="2" t="s">
        <v>88</v>
      </c>
      <c r="C3" s="2" t="s">
        <v>89</v>
      </c>
      <c r="D3" s="2" t="s">
        <v>90</v>
      </c>
      <c r="E3" s="2" t="s">
        <v>91</v>
      </c>
      <c r="F3" s="2" t="s">
        <v>92</v>
      </c>
      <c r="G3" s="2" t="s">
        <v>68</v>
      </c>
    </row>
    <row r="4" spans="1:7" x14ac:dyDescent="0.25">
      <c r="A4" s="4" t="s">
        <v>93</v>
      </c>
      <c r="B4" s="9">
        <v>4000000</v>
      </c>
      <c r="C4" s="16">
        <f>B4*(1+Assumptions!$B$19)</f>
        <v>5800000</v>
      </c>
      <c r="D4" s="16">
        <f>C4*(1+Assumptions!$B$19)</f>
        <v>8410000</v>
      </c>
      <c r="E4" s="16">
        <f>D4*(1+Assumptions!$B$19)</f>
        <v>12194500</v>
      </c>
      <c r="F4" s="16">
        <f>E4*(1+Assumptions!$B$19)</f>
        <v>17682025</v>
      </c>
      <c r="G4" s="30" t="s">
        <v>94</v>
      </c>
    </row>
    <row r="5" spans="1:7" x14ac:dyDescent="0.25">
      <c r="A5" s="4" t="s">
        <v>40</v>
      </c>
      <c r="B5" s="9">
        <v>1000000</v>
      </c>
      <c r="C5" s="16">
        <f>B5*(1+Assumptions!$B$20)</f>
        <v>1500000</v>
      </c>
      <c r="D5" s="16">
        <f>C5*(1+Assumptions!$B$20)</f>
        <v>2250000</v>
      </c>
      <c r="E5" s="16">
        <f>D5*(1+Assumptions!$B$20)</f>
        <v>3375000</v>
      </c>
      <c r="F5" s="16">
        <f>E5*(1+Assumptions!$B$20)</f>
        <v>5062500</v>
      </c>
      <c r="G5" s="30" t="s">
        <v>95</v>
      </c>
    </row>
    <row r="7" spans="1:7" x14ac:dyDescent="0.25">
      <c r="A7" s="17" t="s">
        <v>96</v>
      </c>
      <c r="B7" s="17"/>
      <c r="C7" s="17"/>
      <c r="D7" s="17"/>
      <c r="E7" s="17"/>
      <c r="F7" s="17"/>
      <c r="G7" s="17"/>
    </row>
    <row r="8" spans="1:7" x14ac:dyDescent="0.25">
      <c r="A8" s="4" t="s">
        <v>97</v>
      </c>
      <c r="B8" s="18">
        <f>Assumptions!$B$26</f>
        <v>40000</v>
      </c>
      <c r="C8" s="19">
        <f>B8*(1+Assumptions!$B$21)</f>
        <v>48000</v>
      </c>
      <c r="D8" s="19">
        <f>C8*(1+Assumptions!$B$21)</f>
        <v>57600</v>
      </c>
      <c r="E8" s="19">
        <f>D8*(1+Assumptions!$B$21)</f>
        <v>69120</v>
      </c>
      <c r="F8" s="19">
        <f>E8*(1+Assumptions!$B$21)</f>
        <v>82944</v>
      </c>
      <c r="G8" s="4"/>
    </row>
    <row r="9" spans="1:7" x14ac:dyDescent="0.25">
      <c r="A9" s="4" t="s">
        <v>98</v>
      </c>
      <c r="B9" s="20">
        <f>Assumptions!$B$27</f>
        <v>0.03</v>
      </c>
      <c r="C9" s="20">
        <f>Assumptions!$B$27</f>
        <v>0.03</v>
      </c>
      <c r="D9" s="20">
        <f>Assumptions!$B$27</f>
        <v>0.03</v>
      </c>
      <c r="E9" s="20">
        <f>Assumptions!$B$27</f>
        <v>0.03</v>
      </c>
      <c r="F9" s="20">
        <f>Assumptions!$B$27</f>
        <v>0.03</v>
      </c>
      <c r="G9" s="4"/>
    </row>
    <row r="10" spans="1:7" x14ac:dyDescent="0.25">
      <c r="A10" s="4" t="s">
        <v>99</v>
      </c>
      <c r="B10" s="5">
        <f>Assumptions!$B$28</f>
        <v>800</v>
      </c>
      <c r="C10" s="5">
        <f>Assumptions!$B$28</f>
        <v>800</v>
      </c>
      <c r="D10" s="5">
        <f>Assumptions!$B$28</f>
        <v>800</v>
      </c>
      <c r="E10" s="5">
        <f>Assumptions!$B$28</f>
        <v>800</v>
      </c>
      <c r="F10" s="5">
        <f>Assumptions!$B$28</f>
        <v>800</v>
      </c>
      <c r="G10" s="4"/>
    </row>
    <row r="11" spans="1:7" x14ac:dyDescent="0.25">
      <c r="A11" s="21" t="s">
        <v>100</v>
      </c>
      <c r="B11" s="22">
        <f>B8*B9*B10</f>
        <v>960000</v>
      </c>
      <c r="C11" s="22">
        <f>C8*C9*C10</f>
        <v>1152000</v>
      </c>
      <c r="D11" s="22">
        <f>D8*D9*D10</f>
        <v>1382400</v>
      </c>
      <c r="E11" s="22">
        <f>E8*E9*E10</f>
        <v>1658880</v>
      </c>
      <c r="F11" s="22">
        <f>F8*F9*F10</f>
        <v>1990655.9999999998</v>
      </c>
      <c r="G11" s="4"/>
    </row>
    <row r="13" spans="1:7" x14ac:dyDescent="0.25">
      <c r="A13" s="4" t="s">
        <v>101</v>
      </c>
      <c r="B13" s="9">
        <v>1000000</v>
      </c>
      <c r="C13" s="16">
        <f>B13*(1+Assumptions!$B$22)</f>
        <v>1250000</v>
      </c>
      <c r="D13" s="16">
        <f>C13*(1+Assumptions!$B$22)</f>
        <v>1562500</v>
      </c>
      <c r="E13" s="16">
        <f>D13*(1+Assumptions!$B$22)</f>
        <v>1953125</v>
      </c>
      <c r="F13" s="16">
        <f>E13*(1+Assumptions!$B$22)</f>
        <v>2441406.25</v>
      </c>
      <c r="G13" s="4"/>
    </row>
    <row r="14" spans="1:7" x14ac:dyDescent="0.25">
      <c r="A14" s="4" t="s">
        <v>45</v>
      </c>
      <c r="B14" s="9">
        <v>500000</v>
      </c>
      <c r="C14" s="16">
        <f>B14*(1+Assumptions!$B$23)</f>
        <v>550000</v>
      </c>
      <c r="D14" s="16">
        <f>C14*(1+Assumptions!$B$23)</f>
        <v>605000</v>
      </c>
      <c r="E14" s="16">
        <f>D14*(1+Assumptions!$B$23)</f>
        <v>665500</v>
      </c>
      <c r="F14" s="16">
        <f>E14*(1+Assumptions!$B$23)</f>
        <v>732050.00000000012</v>
      </c>
      <c r="G14" s="30" t="s">
        <v>102</v>
      </c>
    </row>
    <row r="16" spans="1:7" x14ac:dyDescent="0.25">
      <c r="A16" s="21" t="s">
        <v>103</v>
      </c>
      <c r="B16" s="23">
        <f>B4+B5+B11+B13+B14</f>
        <v>7460000</v>
      </c>
      <c r="C16" s="23">
        <f>C4+C5+C11+C13+C14</f>
        <v>10252000</v>
      </c>
      <c r="D16" s="23">
        <f>D4+D5+D11+D13+D14</f>
        <v>14209900</v>
      </c>
      <c r="E16" s="23">
        <f>E4+E5+E11+E13+E14</f>
        <v>19847005</v>
      </c>
      <c r="F16" s="23">
        <f>F4+F5+F11+F13+F14</f>
        <v>27908637.25</v>
      </c>
      <c r="G16" s="4"/>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2"/>
  <sheetViews>
    <sheetView showGridLines="0" zoomScaleNormal="100" workbookViewId="0">
      <selection activeCell="G28" sqref="G28"/>
    </sheetView>
  </sheetViews>
  <sheetFormatPr defaultColWidth="8.7109375" defaultRowHeight="15" x14ac:dyDescent="0.25"/>
  <cols>
    <col min="1" max="1" width="38" customWidth="1"/>
    <col min="2" max="6" width="15" customWidth="1"/>
    <col min="7" max="7" width="40" customWidth="1"/>
  </cols>
  <sheetData>
    <row r="1" spans="1:7" ht="18" x14ac:dyDescent="0.25">
      <c r="A1" s="1" t="s">
        <v>104</v>
      </c>
    </row>
    <row r="3" spans="1:7" x14ac:dyDescent="0.25">
      <c r="A3" s="2" t="s">
        <v>105</v>
      </c>
      <c r="B3" s="2" t="s">
        <v>88</v>
      </c>
      <c r="C3" s="2" t="s">
        <v>89</v>
      </c>
      <c r="D3" s="2" t="s">
        <v>90</v>
      </c>
      <c r="E3" s="2" t="s">
        <v>91</v>
      </c>
      <c r="F3" s="2" t="s">
        <v>92</v>
      </c>
      <c r="G3" s="2" t="s">
        <v>68</v>
      </c>
    </row>
    <row r="4" spans="1:7" x14ac:dyDescent="0.25">
      <c r="A4" s="4" t="s">
        <v>106</v>
      </c>
      <c r="B4" s="9">
        <v>14000000</v>
      </c>
      <c r="C4" s="16">
        <f>B4*(1+Assumptions!$B$10)</f>
        <v>15120000.000000002</v>
      </c>
      <c r="D4" s="16">
        <f>C4*(1+Assumptions!$B$10)</f>
        <v>16329600.000000004</v>
      </c>
      <c r="E4" s="16">
        <f>D4*(1+Assumptions!$B$10)</f>
        <v>17635968.000000004</v>
      </c>
      <c r="F4" s="16">
        <f>E4*(1+Assumptions!$B$10)</f>
        <v>19046845.440000005</v>
      </c>
      <c r="G4" s="30" t="s">
        <v>107</v>
      </c>
    </row>
    <row r="5" spans="1:7" x14ac:dyDescent="0.25">
      <c r="A5" s="4" t="s">
        <v>108</v>
      </c>
      <c r="B5" s="9">
        <v>4000000</v>
      </c>
      <c r="C5" s="16">
        <f>B5*(1+Assumptions!$B$11)</f>
        <v>4480000</v>
      </c>
      <c r="D5" s="16">
        <f>C5*(1+Assumptions!$B$11)</f>
        <v>5017600.0000000009</v>
      </c>
      <c r="E5" s="16">
        <f>D5*(1+Assumptions!$B$11)</f>
        <v>5619712.0000000019</v>
      </c>
      <c r="F5" s="16">
        <f>E5*(1+Assumptions!$B$11)</f>
        <v>6294077.4400000023</v>
      </c>
      <c r="G5" s="4"/>
    </row>
    <row r="6" spans="1:7" x14ac:dyDescent="0.25">
      <c r="A6" s="4" t="s">
        <v>109</v>
      </c>
      <c r="B6" s="9">
        <v>3000000</v>
      </c>
      <c r="C6" s="16">
        <f>B6*(1+Assumptions!$B$12)</f>
        <v>3300000.0000000005</v>
      </c>
      <c r="D6" s="16">
        <f>C6*(1+Assumptions!$B$12)</f>
        <v>3630000.0000000009</v>
      </c>
      <c r="E6" s="16">
        <f>D6*(1+Assumptions!$B$12)</f>
        <v>3993000.0000000014</v>
      </c>
      <c r="F6" s="16">
        <f>E6*(1+Assumptions!$B$12)</f>
        <v>4392300.0000000019</v>
      </c>
      <c r="G6" s="4"/>
    </row>
    <row r="7" spans="1:7" x14ac:dyDescent="0.25">
      <c r="A7" s="4" t="s">
        <v>110</v>
      </c>
      <c r="B7" s="9">
        <v>1500000</v>
      </c>
      <c r="C7" s="16">
        <f>B7*(1+Assumptions!$B$13)</f>
        <v>1590000</v>
      </c>
      <c r="D7" s="16">
        <f>C7*(1+Assumptions!$B$13)</f>
        <v>1685400</v>
      </c>
      <c r="E7" s="16">
        <f>D7*(1+Assumptions!$B$13)</f>
        <v>1786524</v>
      </c>
      <c r="F7" s="16">
        <f>E7*(1+Assumptions!$B$13)</f>
        <v>1893715.4400000002</v>
      </c>
      <c r="G7" s="30" t="s">
        <v>111</v>
      </c>
    </row>
    <row r="8" spans="1:7" x14ac:dyDescent="0.25">
      <c r="A8" s="4" t="s">
        <v>32</v>
      </c>
      <c r="B8" s="9">
        <v>2500000</v>
      </c>
      <c r="C8" s="16">
        <f>B8*(1+Assumptions!$B$14)</f>
        <v>2750000</v>
      </c>
      <c r="D8" s="16">
        <f>C8*(1+Assumptions!$B$14)</f>
        <v>3025000.0000000005</v>
      </c>
      <c r="E8" s="16">
        <f>D8*(1+Assumptions!$B$14)</f>
        <v>3327500.0000000009</v>
      </c>
      <c r="F8" s="16">
        <f>E8*(1+Assumptions!$B$14)</f>
        <v>3660250.0000000014</v>
      </c>
      <c r="G8" s="4"/>
    </row>
    <row r="9" spans="1:7" x14ac:dyDescent="0.25">
      <c r="A9" s="21" t="s">
        <v>112</v>
      </c>
      <c r="B9" s="22">
        <f>SUM(B4:B8)</f>
        <v>25000000</v>
      </c>
      <c r="C9" s="22">
        <f>SUM(C4:C8)</f>
        <v>27240000</v>
      </c>
      <c r="D9" s="22">
        <f>SUM(D4:D8)</f>
        <v>29687600.000000004</v>
      </c>
      <c r="E9" s="22">
        <f>SUM(E4:E8)</f>
        <v>32362704.000000007</v>
      </c>
      <c r="F9" s="22">
        <f>SUM(F4:F8)</f>
        <v>35287188.320000015</v>
      </c>
      <c r="G9" s="4"/>
    </row>
    <row r="10" spans="1:7" x14ac:dyDescent="0.25">
      <c r="A10" s="4" t="s">
        <v>113</v>
      </c>
      <c r="B10" s="5">
        <f>'Revenue Model'!B11*Assumptions!$B$15</f>
        <v>384000</v>
      </c>
      <c r="C10" s="5">
        <f>'Revenue Model'!C11*Assumptions!$B$15</f>
        <v>460800</v>
      </c>
      <c r="D10" s="5">
        <f>'Revenue Model'!D11*Assumptions!$B$15</f>
        <v>552960</v>
      </c>
      <c r="E10" s="5">
        <f>'Revenue Model'!E11*Assumptions!$B$15</f>
        <v>663552</v>
      </c>
      <c r="F10" s="5">
        <f>'Revenue Model'!F11*Assumptions!$B$15</f>
        <v>796262.39999999991</v>
      </c>
      <c r="G10" s="30" t="s">
        <v>114</v>
      </c>
    </row>
    <row r="11" spans="1:7" x14ac:dyDescent="0.25">
      <c r="A11" s="4" t="s">
        <v>115</v>
      </c>
      <c r="B11" s="16">
        <f>(B9+B10)*Assumptions!$B$16</f>
        <v>1269200</v>
      </c>
      <c r="C11" s="16">
        <f>(C9+C10)*Assumptions!$B$16</f>
        <v>1385040</v>
      </c>
      <c r="D11" s="16">
        <f>(D9+D10)*Assumptions!$B$16</f>
        <v>1512028.0000000002</v>
      </c>
      <c r="E11" s="16">
        <f>(E9+E10)*Assumptions!$B$16</f>
        <v>1651312.8000000005</v>
      </c>
      <c r="F11" s="16">
        <f>(F9+F10)*Assumptions!$B$16</f>
        <v>1804172.5360000008</v>
      </c>
      <c r="G11" s="31"/>
    </row>
    <row r="12" spans="1:7" x14ac:dyDescent="0.25">
      <c r="A12" s="21" t="s">
        <v>116</v>
      </c>
      <c r="B12" s="23">
        <f>B9+B10+B11</f>
        <v>26653200</v>
      </c>
      <c r="C12" s="23">
        <f>C9+C10+C11</f>
        <v>29085840</v>
      </c>
      <c r="D12" s="23">
        <f>D9+D10+D11</f>
        <v>31752588.000000004</v>
      </c>
      <c r="E12" s="23">
        <f>E9+E10+E11</f>
        <v>34677568.800000004</v>
      </c>
      <c r="F12" s="23">
        <f>F9+F10+F11</f>
        <v>37887623.256000012</v>
      </c>
      <c r="G12" s="4"/>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
  <sheetViews>
    <sheetView showGridLines="0" zoomScaleNormal="100" workbookViewId="0">
      <selection activeCell="F30" sqref="F30"/>
    </sheetView>
  </sheetViews>
  <sheetFormatPr defaultColWidth="8.7109375" defaultRowHeight="15" x14ac:dyDescent="0.25"/>
  <cols>
    <col min="1" max="1" width="42" customWidth="1"/>
    <col min="2" max="6" width="15" customWidth="1"/>
    <col min="7" max="7" width="45" customWidth="1"/>
  </cols>
  <sheetData>
    <row r="1" spans="1:7" ht="18" x14ac:dyDescent="0.25">
      <c r="A1" s="1" t="s">
        <v>117</v>
      </c>
    </row>
    <row r="3" spans="1:7" x14ac:dyDescent="0.25">
      <c r="A3" s="2" t="s">
        <v>8</v>
      </c>
      <c r="B3" s="2" t="s">
        <v>88</v>
      </c>
      <c r="C3" s="2" t="s">
        <v>89</v>
      </c>
      <c r="D3" s="2" t="s">
        <v>90</v>
      </c>
      <c r="E3" s="2" t="s">
        <v>91</v>
      </c>
      <c r="F3" s="2" t="s">
        <v>92</v>
      </c>
      <c r="G3" s="2" t="s">
        <v>68</v>
      </c>
    </row>
    <row r="4" spans="1:7" x14ac:dyDescent="0.25">
      <c r="A4" s="4" t="s">
        <v>118</v>
      </c>
      <c r="B4" s="5">
        <f>'Revenue Model'!B16</f>
        <v>7460000</v>
      </c>
      <c r="C4" s="5">
        <f>'Revenue Model'!C16</f>
        <v>10252000</v>
      </c>
      <c r="D4" s="5">
        <f>'Revenue Model'!D16</f>
        <v>14209900</v>
      </c>
      <c r="E4" s="5">
        <f>'Revenue Model'!E16</f>
        <v>19847005</v>
      </c>
      <c r="F4" s="5">
        <f>'Revenue Model'!F16</f>
        <v>27908637.25</v>
      </c>
      <c r="G4" s="4"/>
    </row>
    <row r="5" spans="1:7" x14ac:dyDescent="0.25">
      <c r="A5" s="4" t="s">
        <v>119</v>
      </c>
      <c r="B5" s="5">
        <f>'Operating Costs'!B12</f>
        <v>26653200</v>
      </c>
      <c r="C5" s="5">
        <f>'Operating Costs'!C12</f>
        <v>29085840</v>
      </c>
      <c r="D5" s="5">
        <f>'Operating Costs'!D12</f>
        <v>31752588.000000004</v>
      </c>
      <c r="E5" s="5">
        <f>'Operating Costs'!E12</f>
        <v>34677568.800000004</v>
      </c>
      <c r="F5" s="5">
        <f>'Operating Costs'!F12</f>
        <v>37887623.256000012</v>
      </c>
      <c r="G5" s="4"/>
    </row>
    <row r="6" spans="1:7" x14ac:dyDescent="0.25">
      <c r="A6" s="21" t="s">
        <v>120</v>
      </c>
      <c r="B6" s="22">
        <f>B4-B5</f>
        <v>-19193200</v>
      </c>
      <c r="C6" s="22">
        <f>C4-C5</f>
        <v>-18833840</v>
      </c>
      <c r="D6" s="22">
        <f>D4-D5</f>
        <v>-17542688.000000004</v>
      </c>
      <c r="E6" s="22">
        <f>E4-E5</f>
        <v>-14830563.800000004</v>
      </c>
      <c r="F6" s="22">
        <f>F4-F5</f>
        <v>-9978986.0060000122</v>
      </c>
      <c r="G6" s="4"/>
    </row>
    <row r="7" spans="1:7" x14ac:dyDescent="0.25">
      <c r="A7" s="4" t="s">
        <v>121</v>
      </c>
      <c r="B7" s="16">
        <f>MAX(B5-B4,0)</f>
        <v>19193200</v>
      </c>
      <c r="C7" s="16">
        <f>MAX(C5-C4,0)</f>
        <v>18833840</v>
      </c>
      <c r="D7" s="16">
        <f>MAX(D5-D4,0)</f>
        <v>17542688.000000004</v>
      </c>
      <c r="E7" s="16">
        <f>MAX(E5-E4,0)</f>
        <v>14830563.800000004</v>
      </c>
      <c r="F7" s="16">
        <f>MAX(F5-F4,0)</f>
        <v>9978986.0060000122</v>
      </c>
      <c r="G7" s="4"/>
    </row>
    <row r="8" spans="1:7" x14ac:dyDescent="0.25">
      <c r="A8" s="4" t="s">
        <v>122</v>
      </c>
      <c r="B8" s="24">
        <f>B4/B5</f>
        <v>0.27989134512929031</v>
      </c>
      <c r="C8" s="24">
        <f>C4/C5</f>
        <v>0.35247391858031263</v>
      </c>
      <c r="D8" s="24">
        <f>D4/D5</f>
        <v>0.44751942739281592</v>
      </c>
      <c r="E8" s="24">
        <f>E4/E5</f>
        <v>0.57232977070757041</v>
      </c>
      <c r="F8" s="24">
        <f>F4/F5</f>
        <v>0.73661620475441925</v>
      </c>
      <c r="G8" s="4"/>
    </row>
    <row r="9" spans="1:7" x14ac:dyDescent="0.25">
      <c r="A9" s="4" t="s">
        <v>123</v>
      </c>
      <c r="B9" s="24">
        <f>1-B8</f>
        <v>0.72010865487070963</v>
      </c>
      <c r="C9" s="24">
        <f>1-C8</f>
        <v>0.64752608141968737</v>
      </c>
      <c r="D9" s="24">
        <f>1-D8</f>
        <v>0.55248057260718408</v>
      </c>
      <c r="E9" s="24">
        <f>1-E8</f>
        <v>0.42767022929242959</v>
      </c>
      <c r="F9" s="24">
        <f>1-F8</f>
        <v>0.26338379524558075</v>
      </c>
      <c r="G9" s="4"/>
    </row>
    <row r="11" spans="1:7" s="29" customFormat="1" ht="25.5" customHeight="1" x14ac:dyDescent="0.25">
      <c r="A11" s="28" t="s">
        <v>124</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4"/>
  <sheetViews>
    <sheetView showGridLines="0" tabSelected="1" topLeftCell="A4" zoomScaleNormal="100" workbookViewId="0">
      <selection activeCell="J49" sqref="J49"/>
    </sheetView>
  </sheetViews>
  <sheetFormatPr defaultColWidth="8.7109375" defaultRowHeight="15" x14ac:dyDescent="0.25"/>
  <cols>
    <col min="1" max="1" width="46" customWidth="1"/>
    <col min="2" max="7" width="15" customWidth="1"/>
  </cols>
  <sheetData>
    <row r="1" spans="1:9" ht="18" x14ac:dyDescent="0.25">
      <c r="A1" s="25" t="s">
        <v>125</v>
      </c>
      <c r="B1" s="25"/>
      <c r="C1" s="25"/>
      <c r="D1" s="25"/>
      <c r="E1" s="25"/>
      <c r="F1" s="25"/>
      <c r="G1" s="25"/>
    </row>
    <row r="3" spans="1:9" x14ac:dyDescent="0.25">
      <c r="A3" s="2" t="s">
        <v>8</v>
      </c>
      <c r="B3" s="2" t="s">
        <v>126</v>
      </c>
      <c r="C3" s="2" t="s">
        <v>88</v>
      </c>
      <c r="D3" s="2" t="s">
        <v>89</v>
      </c>
      <c r="E3" s="2" t="s">
        <v>90</v>
      </c>
      <c r="F3" s="2" t="s">
        <v>91</v>
      </c>
      <c r="G3" s="2" t="s">
        <v>92</v>
      </c>
    </row>
    <row r="4" spans="1:9" x14ac:dyDescent="0.25">
      <c r="A4" s="21" t="s">
        <v>127</v>
      </c>
      <c r="B4" s="22">
        <f>-Assumptions!$B$5</f>
        <v>-28080000</v>
      </c>
      <c r="C4" s="22">
        <f>'Funding Mix'!B6</f>
        <v>-19193200</v>
      </c>
      <c r="D4" s="22">
        <f>'Funding Mix'!C6</f>
        <v>-18833840</v>
      </c>
      <c r="E4" s="22">
        <f>'Funding Mix'!D6</f>
        <v>-17542688.000000004</v>
      </c>
      <c r="F4" s="22">
        <f>'Funding Mix'!E6</f>
        <v>-14830563.800000004</v>
      </c>
      <c r="G4" s="22">
        <f>'Funding Mix'!F6</f>
        <v>-9978986.0060000122</v>
      </c>
    </row>
    <row r="5" spans="1:9" x14ac:dyDescent="0.25">
      <c r="A5" s="4" t="s">
        <v>128</v>
      </c>
      <c r="B5" s="16">
        <f>B4</f>
        <v>-28080000</v>
      </c>
      <c r="C5" s="16">
        <f>B5+C4</f>
        <v>-47273200</v>
      </c>
      <c r="D5" s="16">
        <f>C5+D4</f>
        <v>-66107040</v>
      </c>
      <c r="E5" s="16">
        <f>D5+E4</f>
        <v>-83649728</v>
      </c>
      <c r="F5" s="16">
        <f>E5+F4</f>
        <v>-98480291.800000012</v>
      </c>
      <c r="G5" s="16">
        <f>F5+G4</f>
        <v>-108459277.80600002</v>
      </c>
    </row>
    <row r="6" spans="1:9" x14ac:dyDescent="0.25">
      <c r="A6" s="4"/>
      <c r="B6" s="4"/>
      <c r="C6" s="4"/>
      <c r="D6" s="4"/>
      <c r="E6" s="4"/>
      <c r="F6" s="4"/>
      <c r="G6" s="4"/>
    </row>
    <row r="7" spans="1:9" x14ac:dyDescent="0.25">
      <c r="A7" s="21" t="s">
        <v>129</v>
      </c>
      <c r="B7" s="22">
        <f>NPV(Assumptions!$B$6,C4:G4)+B4</f>
        <v>-87804982.525495321</v>
      </c>
      <c r="C7" s="4"/>
      <c r="D7" s="4"/>
      <c r="E7" s="4"/>
      <c r="F7" s="4"/>
      <c r="G7" s="4"/>
    </row>
    <row r="8" spans="1:9" x14ac:dyDescent="0.25">
      <c r="A8" s="21" t="s">
        <v>130</v>
      </c>
      <c r="B8" s="21" t="str">
        <f>IFERROR(IRR(B4:G4,-0.5),"Not computable — cash flows stay negative")</f>
        <v>Not computable — cash flows stay negative</v>
      </c>
      <c r="C8" s="4"/>
      <c r="D8" s="4"/>
      <c r="E8" s="4"/>
      <c r="F8" s="4"/>
      <c r="G8" s="4"/>
    </row>
    <row r="9" spans="1:9" x14ac:dyDescent="0.25">
      <c r="A9" s="4" t="s">
        <v>131</v>
      </c>
      <c r="B9" s="4" t="str">
        <f>IF(G5&gt;=0,"Yes","No — funding requirement persists beyond Year 5")</f>
        <v>No — funding requirement persists beyond Year 5</v>
      </c>
      <c r="C9" s="4"/>
      <c r="D9" s="4"/>
      <c r="E9" s="4"/>
      <c r="F9" s="4"/>
      <c r="G9" s="4"/>
    </row>
    <row r="10" spans="1:9" x14ac:dyDescent="0.25">
      <c r="A10" s="4" t="s">
        <v>132</v>
      </c>
      <c r="B10" s="24">
        <f>G5/-B4</f>
        <v>-3.8625098933760693</v>
      </c>
      <c r="C10" s="4"/>
      <c r="D10" s="4"/>
      <c r="E10" s="4"/>
      <c r="F10" s="4"/>
      <c r="G10" s="4"/>
    </row>
    <row r="11" spans="1:9" x14ac:dyDescent="0.25">
      <c r="A11" s="4"/>
      <c r="B11" s="4"/>
      <c r="C11" s="4"/>
      <c r="D11" s="4"/>
      <c r="E11" s="4"/>
      <c r="F11" s="4"/>
      <c r="G11" s="4"/>
    </row>
    <row r="12" spans="1:9" ht="25.5" customHeight="1" x14ac:dyDescent="0.25">
      <c r="A12" s="30" t="s">
        <v>133</v>
      </c>
      <c r="B12" s="31"/>
      <c r="C12" s="31"/>
      <c r="D12" s="31"/>
      <c r="E12" s="31"/>
      <c r="F12" s="31"/>
      <c r="G12" s="31"/>
      <c r="H12" s="29"/>
      <c r="I12" s="29"/>
    </row>
    <row r="13" spans="1:9" x14ac:dyDescent="0.25">
      <c r="A13" s="4"/>
      <c r="B13" s="4"/>
      <c r="C13" s="4"/>
      <c r="D13" s="4"/>
      <c r="E13" s="4"/>
      <c r="F13" s="4"/>
      <c r="G13" s="4"/>
    </row>
    <row r="14" spans="1:9" x14ac:dyDescent="0.25">
      <c r="A14" s="17" t="s">
        <v>134</v>
      </c>
      <c r="B14" s="17"/>
      <c r="C14" s="17"/>
      <c r="D14" s="17"/>
      <c r="E14" s="17"/>
      <c r="F14" s="17"/>
      <c r="G14" s="17"/>
    </row>
    <row r="15" spans="1:9" x14ac:dyDescent="0.25">
      <c r="A15" s="4" t="s">
        <v>123</v>
      </c>
      <c r="B15" s="4"/>
      <c r="C15" s="20">
        <f>'Funding Mix'!B9</f>
        <v>0.72010865487070963</v>
      </c>
      <c r="D15" s="20">
        <f>'Funding Mix'!C9</f>
        <v>0.64752608141968737</v>
      </c>
      <c r="E15" s="20">
        <f>'Funding Mix'!D9</f>
        <v>0.55248057260718408</v>
      </c>
      <c r="F15" s="20">
        <f>'Funding Mix'!E9</f>
        <v>0.42767022929242959</v>
      </c>
      <c r="G15" s="20">
        <f>'Funding Mix'!F9</f>
        <v>0.26338379524558075</v>
      </c>
    </row>
    <row r="16" spans="1:9" x14ac:dyDescent="0.25">
      <c r="A16" s="4"/>
      <c r="B16" s="4"/>
      <c r="C16" s="4"/>
      <c r="D16" s="4"/>
      <c r="E16" s="4"/>
      <c r="F16" s="4"/>
      <c r="G16" s="4"/>
    </row>
    <row r="17" spans="1:13" ht="25.5" customHeight="1" x14ac:dyDescent="0.25">
      <c r="A17" s="30" t="s">
        <v>135</v>
      </c>
      <c r="B17" s="31"/>
      <c r="C17" s="31"/>
      <c r="D17" s="31"/>
      <c r="E17" s="31"/>
      <c r="F17" s="31"/>
      <c r="G17" s="31"/>
      <c r="H17" s="29"/>
      <c r="I17" s="29"/>
      <c r="J17" s="29"/>
      <c r="K17" s="29"/>
      <c r="L17" s="29"/>
      <c r="M17" s="29"/>
    </row>
    <row r="18" spans="1:13" x14ac:dyDescent="0.25">
      <c r="A18" s="31"/>
      <c r="B18" s="4"/>
      <c r="C18" s="4"/>
      <c r="D18" s="4"/>
      <c r="E18" s="4"/>
      <c r="F18" s="4"/>
      <c r="G18" s="4"/>
    </row>
    <row r="19" spans="1:13" x14ac:dyDescent="0.25">
      <c r="A19" s="4"/>
      <c r="B19" s="4"/>
      <c r="C19" s="4"/>
      <c r="D19" s="4"/>
      <c r="E19" s="4"/>
      <c r="F19" s="4"/>
      <c r="G19" s="4"/>
    </row>
    <row r="20" spans="1:13" x14ac:dyDescent="0.25">
      <c r="A20" s="17" t="s">
        <v>136</v>
      </c>
      <c r="B20" s="17"/>
      <c r="C20" s="17"/>
      <c r="D20" s="17"/>
      <c r="E20" s="17"/>
      <c r="F20" s="17"/>
      <c r="G20" s="17"/>
    </row>
    <row r="21" spans="1:13" x14ac:dyDescent="0.25">
      <c r="A21" s="4"/>
      <c r="B21" s="4"/>
      <c r="C21" s="4"/>
      <c r="D21" s="4"/>
      <c r="E21" s="4"/>
      <c r="F21" s="4"/>
      <c r="G21" s="4"/>
    </row>
    <row r="22" spans="1:13" x14ac:dyDescent="0.25">
      <c r="A22" s="4" t="s">
        <v>137</v>
      </c>
      <c r="B22" s="24">
        <f>('Revenue Model'!F16/'Revenue Model'!B16)^(1/4)-1</f>
        <v>0.39075282519397248</v>
      </c>
      <c r="C22" s="4"/>
      <c r="D22" s="4"/>
      <c r="E22" s="4"/>
      <c r="F22" s="4"/>
      <c r="G22" s="4"/>
    </row>
    <row r="23" spans="1:13" x14ac:dyDescent="0.25">
      <c r="A23" s="4" t="s">
        <v>138</v>
      </c>
      <c r="B23" s="24">
        <f>('Operating Costs'!F12/'Operating Costs'!B12)^(1/4)-1</f>
        <v>9.1910396298800379E-2</v>
      </c>
      <c r="C23" s="4"/>
      <c r="D23" s="4"/>
      <c r="E23" s="4"/>
      <c r="F23" s="4"/>
      <c r="G23" s="4"/>
    </row>
    <row r="24" spans="1:13" x14ac:dyDescent="0.25">
      <c r="A24" s="4"/>
      <c r="B24" s="4"/>
      <c r="C24" s="4"/>
      <c r="D24" s="4"/>
      <c r="E24" s="4"/>
      <c r="F24" s="4"/>
      <c r="G24" s="4"/>
    </row>
    <row r="25" spans="1:13" x14ac:dyDescent="0.25">
      <c r="A25" s="17" t="s">
        <v>139</v>
      </c>
      <c r="B25" s="17"/>
      <c r="C25" s="17"/>
      <c r="D25" s="17"/>
      <c r="E25" s="17"/>
      <c r="F25" s="17"/>
      <c r="G25" s="17"/>
    </row>
    <row r="26" spans="1:13" x14ac:dyDescent="0.25">
      <c r="A26" s="4" t="s">
        <v>140</v>
      </c>
      <c r="B26" s="4"/>
      <c r="C26" s="16">
        <f>'Revenue Model'!B16</f>
        <v>7460000</v>
      </c>
      <c r="D26" s="16">
        <f>$C$26*(1+B22*Assumptions!$B$31)^1</f>
        <v>9209009.6455682218</v>
      </c>
      <c r="E26" s="16">
        <f>$C$26*(1+B22*Assumptions!$B$31)^2</f>
        <v>11368077.567314819</v>
      </c>
      <c r="F26" s="16">
        <f>$C$26*(1+B22*Assumptions!$B$31)^3</f>
        <v>14033342.623186311</v>
      </c>
      <c r="G26" s="16">
        <f>$C$26*(1+B22*Assumptions!$B$31)^4</f>
        <v>17323483.589341339</v>
      </c>
    </row>
    <row r="27" spans="1:13" x14ac:dyDescent="0.25">
      <c r="A27" s="4" t="s">
        <v>141</v>
      </c>
      <c r="B27" s="4"/>
      <c r="C27" s="16">
        <f>'Operating Costs'!B12</f>
        <v>26653200</v>
      </c>
      <c r="D27" s="16">
        <f>$C$27*(1+B23*Assumptions!$B$32)^1</f>
        <v>29470362.100825865</v>
      </c>
      <c r="E27" s="16">
        <f>$C$27*(1+B23*Assumptions!$B$32)^2</f>
        <v>32585289.659545328</v>
      </c>
      <c r="F27" s="16">
        <f>$C$27*(1+B23*Assumptions!$B$32)^3</f>
        <v>36029455.578583345</v>
      </c>
      <c r="G27" s="16">
        <f>$C$27*(1+B23*Assumptions!$B$32)^4</f>
        <v>39837659.350339614</v>
      </c>
    </row>
    <row r="28" spans="1:13" x14ac:dyDescent="0.25">
      <c r="A28" s="21" t="s">
        <v>142</v>
      </c>
      <c r="B28" s="22">
        <f>-Assumptions!$B$5</f>
        <v>-28080000</v>
      </c>
      <c r="C28" s="22">
        <f>C26-C27</f>
        <v>-19193200</v>
      </c>
      <c r="D28" s="22">
        <f>D26-D27</f>
        <v>-20261352.455257643</v>
      </c>
      <c r="E28" s="22">
        <f>E26-E27</f>
        <v>-21217212.09223051</v>
      </c>
      <c r="F28" s="22">
        <f>F26-F27</f>
        <v>-21996112.955397032</v>
      </c>
      <c r="G28" s="22">
        <f>G26-G27</f>
        <v>-22514175.760998275</v>
      </c>
    </row>
    <row r="29" spans="1:13" x14ac:dyDescent="0.25">
      <c r="A29" s="4" t="s">
        <v>128</v>
      </c>
      <c r="B29" s="16">
        <f>B28</f>
        <v>-28080000</v>
      </c>
      <c r="C29" s="16">
        <f>B29+C28</f>
        <v>-47273200</v>
      </c>
      <c r="D29" s="16">
        <f>C29+D28</f>
        <v>-67534552.455257639</v>
      </c>
      <c r="E29" s="16">
        <f>D29+E28</f>
        <v>-88751764.547488153</v>
      </c>
      <c r="F29" s="16">
        <f>E29+F28</f>
        <v>-110747877.50288519</v>
      </c>
      <c r="G29" s="16">
        <f>F29+G28</f>
        <v>-133262053.26388347</v>
      </c>
    </row>
    <row r="30" spans="1:13" x14ac:dyDescent="0.25">
      <c r="A30" s="4"/>
      <c r="B30" s="4"/>
      <c r="C30" s="4"/>
      <c r="D30" s="4"/>
      <c r="E30" s="4"/>
      <c r="F30" s="4"/>
      <c r="G30" s="4"/>
    </row>
    <row r="31" spans="1:13" x14ac:dyDescent="0.25">
      <c r="A31" s="17" t="s">
        <v>143</v>
      </c>
      <c r="B31" s="17"/>
      <c r="C31" s="17"/>
      <c r="D31" s="17"/>
      <c r="E31" s="17"/>
      <c r="F31" s="17"/>
      <c r="G31" s="17"/>
    </row>
    <row r="32" spans="1:13" x14ac:dyDescent="0.25">
      <c r="A32" s="4" t="s">
        <v>140</v>
      </c>
      <c r="B32" s="4"/>
      <c r="C32" s="16">
        <f>'Revenue Model'!B16</f>
        <v>7460000</v>
      </c>
      <c r="D32" s="16">
        <f>$C$32*(1+B22*Assumptions!$B$33)^1</f>
        <v>11541022.506325848</v>
      </c>
      <c r="E32" s="16">
        <f>$C$32*(1+B22*Assumptions!$B$33)^2</f>
        <v>17854584.516289514</v>
      </c>
      <c r="F32" s="16">
        <f>$C$32*(1+B22*Assumptions!$B$33)^3</f>
        <v>27622005.595656071</v>
      </c>
      <c r="G32" s="16">
        <f>$C$32*(1+B22*Assumptions!$B$33)^4</f>
        <v>42732733.009292923</v>
      </c>
    </row>
    <row r="33" spans="1:7" x14ac:dyDescent="0.25">
      <c r="A33" s="4" t="s">
        <v>141</v>
      </c>
      <c r="B33" s="4"/>
      <c r="C33" s="16">
        <f>'Operating Costs'!B12</f>
        <v>26653200</v>
      </c>
      <c r="D33" s="16">
        <f>$C$33*(1+B23*Assumptions!$B$34)^1</f>
        <v>28857935.55716807</v>
      </c>
      <c r="E33" s="16">
        <f>$C$33*(1+B23*Assumptions!$B$34)^2</f>
        <v>31245045.421250176</v>
      </c>
      <c r="F33" s="16">
        <f>$C$33*(1+B23*Assumptions!$B$34)^3</f>
        <v>33829615.477587186</v>
      </c>
      <c r="G33" s="16">
        <f>$C$33*(1+B23*Assumptions!$B$34)^4</f>
        <v>36627979.506250151</v>
      </c>
    </row>
    <row r="34" spans="1:7" x14ac:dyDescent="0.25">
      <c r="A34" s="21" t="s">
        <v>142</v>
      </c>
      <c r="B34" s="22">
        <f>-Assumptions!$B$5</f>
        <v>-28080000</v>
      </c>
      <c r="C34" s="22">
        <f>C32-C33</f>
        <v>-19193200</v>
      </c>
      <c r="D34" s="22">
        <f>D32-D33</f>
        <v>-17316913.050842222</v>
      </c>
      <c r="E34" s="22">
        <f>E32-E33</f>
        <v>-13390460.904960662</v>
      </c>
      <c r="F34" s="22">
        <f>F32-F33</f>
        <v>-6207609.8819311149</v>
      </c>
      <c r="G34" s="22">
        <f>G32-G33</f>
        <v>6104753.5030427724</v>
      </c>
    </row>
    <row r="35" spans="1:7" x14ac:dyDescent="0.25">
      <c r="A35" s="4" t="s">
        <v>128</v>
      </c>
      <c r="B35" s="16">
        <f>B34</f>
        <v>-28080000</v>
      </c>
      <c r="C35" s="16">
        <f>B35+C34</f>
        <v>-47273200</v>
      </c>
      <c r="D35" s="16">
        <f>C35+D34</f>
        <v>-64590113.050842226</v>
      </c>
      <c r="E35" s="16">
        <f>D35+E34</f>
        <v>-77980573.955802888</v>
      </c>
      <c r="F35" s="16">
        <f>E35+F34</f>
        <v>-84188183.837733999</v>
      </c>
      <c r="G35" s="16">
        <f>F35+G34</f>
        <v>-78083430.334691226</v>
      </c>
    </row>
    <row r="36" spans="1:7" x14ac:dyDescent="0.25">
      <c r="A36" s="4"/>
      <c r="B36" s="4"/>
      <c r="C36" s="4"/>
      <c r="D36" s="4"/>
      <c r="E36" s="4"/>
      <c r="F36" s="4"/>
      <c r="G36" s="4"/>
    </row>
    <row r="37" spans="1:7" x14ac:dyDescent="0.25">
      <c r="A37" s="4"/>
      <c r="B37" s="4"/>
      <c r="C37" s="4"/>
      <c r="D37" s="4"/>
      <c r="E37" s="4"/>
      <c r="F37" s="4"/>
      <c r="G37" s="4"/>
    </row>
    <row r="38" spans="1:7" x14ac:dyDescent="0.25">
      <c r="A38" s="17" t="s">
        <v>144</v>
      </c>
      <c r="B38" s="17"/>
      <c r="C38" s="17"/>
      <c r="D38" s="17"/>
      <c r="E38" s="17"/>
      <c r="F38" s="17"/>
      <c r="G38" s="17"/>
    </row>
    <row r="39" spans="1:7" ht="29.25" x14ac:dyDescent="0.25">
      <c r="A39" s="2" t="s">
        <v>145</v>
      </c>
      <c r="B39" s="2" t="s">
        <v>146</v>
      </c>
      <c r="C39" s="2" t="s">
        <v>147</v>
      </c>
      <c r="D39" s="2" t="s">
        <v>148</v>
      </c>
      <c r="E39" s="2" t="s">
        <v>149</v>
      </c>
      <c r="F39" s="4"/>
      <c r="G39" s="4"/>
    </row>
    <row r="40" spans="1:7" x14ac:dyDescent="0.25">
      <c r="A40" s="4" t="s">
        <v>150</v>
      </c>
      <c r="B40" s="16">
        <f>G5</f>
        <v>-108459277.80600002</v>
      </c>
      <c r="C40" s="4" t="str">
        <f>B8</f>
        <v>Not computable — cash flows stay negative</v>
      </c>
      <c r="D40" s="16">
        <f>B7</f>
        <v>-87804982.525495321</v>
      </c>
      <c r="E40" s="4" t="str">
        <f>IF(ISNUMBER(C40),"Yes","No")</f>
        <v>No</v>
      </c>
      <c r="F40" s="4"/>
      <c r="G40" s="4"/>
    </row>
    <row r="41" spans="1:7" x14ac:dyDescent="0.25">
      <c r="A41" s="4" t="s">
        <v>151</v>
      </c>
      <c r="B41" s="16">
        <f>G29</f>
        <v>-133262053.26388347</v>
      </c>
      <c r="C41" s="4" t="str">
        <f>IFERROR(IRR(B28:G28,-0.5),"n.a.")</f>
        <v>n.a.</v>
      </c>
      <c r="D41" s="16">
        <f>NPV(Assumptions!$B$6,C28:G28)+B28</f>
        <v>-103225079.72238666</v>
      </c>
      <c r="E41" s="4" t="str">
        <f>IF(ISNUMBER(C41),"Yes","No")</f>
        <v>No</v>
      </c>
      <c r="F41" s="4"/>
      <c r="G41" s="4"/>
    </row>
    <row r="42" spans="1:7" x14ac:dyDescent="0.25">
      <c r="A42" s="4" t="s">
        <v>152</v>
      </c>
      <c r="B42" s="16">
        <f>G35</f>
        <v>-78083430.334691226</v>
      </c>
      <c r="C42" s="4">
        <f>IFERROR(IRR(B34:G34,-0.5),"n.a.")</f>
        <v>-0.61240728254721066</v>
      </c>
      <c r="D42" s="16">
        <f>NPV(Assumptions!$B$6,C34:G34)+B34</f>
        <v>-69033835.576252222</v>
      </c>
      <c r="E42" s="4" t="str">
        <f>IF(ISNUMBER(C42),"Yes","No")</f>
        <v>Yes</v>
      </c>
      <c r="F42" s="4"/>
      <c r="G42" s="4"/>
    </row>
    <row r="43" spans="1:7" x14ac:dyDescent="0.25">
      <c r="A43" s="4"/>
      <c r="B43" s="4"/>
      <c r="C43" s="4"/>
      <c r="D43" s="4"/>
      <c r="E43" s="4"/>
      <c r="F43" s="4"/>
      <c r="G43" s="4"/>
    </row>
    <row r="44" spans="1:7" ht="25.5" customHeight="1" x14ac:dyDescent="0.25">
      <c r="A44" s="30" t="s">
        <v>153</v>
      </c>
      <c r="B44" s="4"/>
      <c r="C44" s="4"/>
      <c r="D44" s="4"/>
      <c r="E44" s="4"/>
      <c r="F44" s="4"/>
      <c r="G44" s="4"/>
    </row>
  </sheetData>
  <mergeCells count="1">
    <mergeCell ref="A1:G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Model Notes</vt:lpstr>
      <vt:lpstr>Assumptions</vt:lpstr>
      <vt:lpstr>Initial Investment</vt:lpstr>
      <vt:lpstr>Revenue Model</vt:lpstr>
      <vt:lpstr>Operating Costs</vt:lpstr>
      <vt:lpstr>Funding Mix</vt:lpstr>
      <vt:lpstr>Key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2026-08-02T03:26:19Z</dcterms:created>
  <dcterms:modified xsi:type="dcterms:W3CDTF">2026-08-03T18:06:25Z</dcterms:modified>
  <dc:language>en-US</dc:language>
</cp:coreProperties>
</file>