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A24F0E8-99CE-4B1C-8A50-A6E4C163B03F}" xr6:coauthVersionLast="47" xr6:coauthVersionMax="47" xr10:uidLastSave="{00000000-0000-0000-0000-000000000000}"/>
  <bookViews>
    <workbookView xWindow="-120" yWindow="-120" windowWidth="29040" windowHeight="15840" tabRatio="780" firstSheet="1" activeTab="1" xr2:uid="{00000000-000D-0000-FFFF-FFFF00000000}"/>
  </bookViews>
  <sheets>
    <sheet name="Read Me" sheetId="1" r:id="rId1"/>
    <sheet name="1. Assumptions - Revenue" sheetId="2" r:id="rId2"/>
    <sheet name="2. Assumptions - Cost" sheetId="3" r:id="rId3"/>
    <sheet name="3. Growth - Cust &amp; Merchants" sheetId="4" r:id="rId4"/>
    <sheet name="4. Transaction Volume Build" sheetId="5" r:id="rId5"/>
    <sheet name="5. Revenue Build" sheetId="6" r:id="rId6"/>
    <sheet name="6. Cost Build" sheetId="7" r:id="rId7"/>
    <sheet name="7. P&amp;L Summary" sheetId="8" r:id="rId8"/>
    <sheet name="8. Scenario Control" sheetId="9" r:id="rId9"/>
    <sheet name="9. Sensitivity Analysis" sheetId="10" r:id="rId10"/>
    <sheet name="10. KPI Dashboard"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 i="7" l="1"/>
  <c r="L5" i="7"/>
  <c r="K5" i="7"/>
  <c r="J5" i="7"/>
  <c r="I5" i="7"/>
  <c r="H5" i="7"/>
  <c r="G5" i="7"/>
  <c r="F5" i="7"/>
  <c r="E5" i="7"/>
  <c r="D5" i="7"/>
  <c r="C5" i="7"/>
  <c r="B5" i="7"/>
  <c r="M4" i="7"/>
  <c r="L4" i="7"/>
  <c r="K4" i="7"/>
  <c r="J4" i="7"/>
  <c r="I4" i="7"/>
  <c r="H4" i="7"/>
  <c r="G4" i="7"/>
  <c r="F4" i="7"/>
  <c r="E4" i="7"/>
  <c r="D4" i="7"/>
  <c r="C4" i="7"/>
  <c r="B4" i="7"/>
  <c r="B12" i="4"/>
  <c r="C12" i="4" s="1"/>
  <c r="B7" i="4"/>
  <c r="C7" i="4" s="1"/>
  <c r="C6" i="5" l="1"/>
  <c r="C7" i="5" s="1"/>
  <c r="C8" i="5" s="1"/>
  <c r="D7" i="4"/>
  <c r="C10" i="5"/>
  <c r="C12" i="5" s="1"/>
  <c r="D12" i="4"/>
  <c r="B6" i="5"/>
  <c r="B7" i="5" s="1"/>
  <c r="B8" i="5" s="1"/>
  <c r="B10" i="5"/>
  <c r="B12" i="5" s="1"/>
  <c r="E7" i="4" l="1"/>
  <c r="D6" i="5"/>
  <c r="D7" i="5" s="1"/>
  <c r="D8" i="5" s="1"/>
  <c r="B7" i="6"/>
  <c r="B5" i="6"/>
  <c r="E12" i="4"/>
  <c r="D10" i="5"/>
  <c r="D12" i="5" s="1"/>
  <c r="B8" i="7"/>
  <c r="B10" i="7" s="1"/>
  <c r="B6" i="6"/>
  <c r="B4" i="6"/>
  <c r="B8" i="6" s="1"/>
  <c r="C7" i="6"/>
  <c r="C5" i="6"/>
  <c r="C8" i="7"/>
  <c r="C10" i="7" s="1"/>
  <c r="C6" i="6"/>
  <c r="C4" i="6"/>
  <c r="B4" i="11" l="1"/>
  <c r="F12" i="4"/>
  <c r="E10" i="5"/>
  <c r="E12" i="5" s="1"/>
  <c r="D8" i="7"/>
  <c r="D10" i="7" s="1"/>
  <c r="D6" i="6"/>
  <c r="D4" i="6"/>
  <c r="D8" i="6" s="1"/>
  <c r="D7" i="6"/>
  <c r="D5" i="6"/>
  <c r="C8" i="6"/>
  <c r="B5" i="11"/>
  <c r="F7" i="4"/>
  <c r="E6" i="5"/>
  <c r="E7" i="5" s="1"/>
  <c r="E8" i="5" s="1"/>
  <c r="B4" i="8" l="1"/>
  <c r="B6" i="8" s="1"/>
  <c r="B5" i="8"/>
  <c r="E8" i="7"/>
  <c r="E10" i="7" s="1"/>
  <c r="E6" i="6"/>
  <c r="E4" i="6"/>
  <c r="E8" i="6" s="1"/>
  <c r="E7" i="6"/>
  <c r="E5" i="6"/>
  <c r="G12" i="4"/>
  <c r="F10" i="5"/>
  <c r="F12" i="5" s="1"/>
  <c r="G7" i="4"/>
  <c r="F6" i="5"/>
  <c r="F7" i="5" s="1"/>
  <c r="F8" i="5" s="1"/>
  <c r="F8" i="7" l="1"/>
  <c r="F10" i="7" s="1"/>
  <c r="F6" i="6"/>
  <c r="F4" i="6"/>
  <c r="H7" i="4"/>
  <c r="G6" i="5"/>
  <c r="G7" i="5" s="1"/>
  <c r="G8" i="5" s="1"/>
  <c r="F7" i="6"/>
  <c r="F5" i="6"/>
  <c r="H12" i="4"/>
  <c r="G10" i="5"/>
  <c r="G12" i="5" s="1"/>
  <c r="B7" i="8"/>
  <c r="B9" i="8"/>
  <c r="I12" i="4" l="1"/>
  <c r="H10" i="5"/>
  <c r="H12" i="5" s="1"/>
  <c r="F8" i="6"/>
  <c r="G7" i="6"/>
  <c r="G5" i="6"/>
  <c r="I7" i="4"/>
  <c r="H6" i="5"/>
  <c r="H7" i="5" s="1"/>
  <c r="H8" i="5" s="1"/>
  <c r="G8" i="7"/>
  <c r="G10" i="7" s="1"/>
  <c r="G6" i="6"/>
  <c r="G4" i="6"/>
  <c r="G8" i="6" s="1"/>
  <c r="H8" i="7" l="1"/>
  <c r="H10" i="7" s="1"/>
  <c r="H6" i="6"/>
  <c r="H4" i="6"/>
  <c r="J12" i="4"/>
  <c r="I10" i="5"/>
  <c r="I12" i="5" s="1"/>
  <c r="C4" i="11"/>
  <c r="C5" i="11"/>
  <c r="J7" i="4"/>
  <c r="I6" i="5"/>
  <c r="I7" i="5" s="1"/>
  <c r="I8" i="5" s="1"/>
  <c r="H7" i="6"/>
  <c r="H5" i="6"/>
  <c r="K7" i="4" l="1"/>
  <c r="J6" i="5"/>
  <c r="J7" i="5" s="1"/>
  <c r="J8" i="5" s="1"/>
  <c r="K12" i="4"/>
  <c r="J10" i="5"/>
  <c r="J12" i="5" s="1"/>
  <c r="I8" i="7"/>
  <c r="I10" i="7" s="1"/>
  <c r="I6" i="6"/>
  <c r="I4" i="6"/>
  <c r="H8" i="6"/>
  <c r="I7" i="6"/>
  <c r="I5" i="6"/>
  <c r="C5" i="8"/>
  <c r="J8" i="7" l="1"/>
  <c r="J10" i="7" s="1"/>
  <c r="J6" i="6"/>
  <c r="J4" i="6"/>
  <c r="I8" i="6"/>
  <c r="C4" i="8" s="1"/>
  <c r="C6" i="8" s="1"/>
  <c r="J7" i="6"/>
  <c r="J5" i="6"/>
  <c r="K10" i="5"/>
  <c r="K12" i="5" s="1"/>
  <c r="L12" i="4"/>
  <c r="K6" i="5"/>
  <c r="K7" i="5" s="1"/>
  <c r="K8" i="5" s="1"/>
  <c r="L7" i="4"/>
  <c r="C7" i="8" l="1"/>
  <c r="C9" i="8"/>
  <c r="M7" i="4"/>
  <c r="L6" i="5"/>
  <c r="L7" i="5" s="1"/>
  <c r="L8" i="5" s="1"/>
  <c r="K8" i="7"/>
  <c r="K10" i="7" s="1"/>
  <c r="K6" i="6"/>
  <c r="K4" i="6"/>
  <c r="M12" i="4"/>
  <c r="L10" i="5"/>
  <c r="L12" i="5" s="1"/>
  <c r="K7" i="6"/>
  <c r="K5" i="6"/>
  <c r="J8" i="6"/>
  <c r="L7" i="6" l="1"/>
  <c r="L5" i="6"/>
  <c r="D4" i="11"/>
  <c r="M10" i="5"/>
  <c r="M12" i="5" s="1"/>
  <c r="D5" i="11"/>
  <c r="M6" i="5"/>
  <c r="M7" i="5" s="1"/>
  <c r="M8" i="5" s="1"/>
  <c r="L8" i="7"/>
  <c r="L10" i="7" s="1"/>
  <c r="L6" i="6"/>
  <c r="L4" i="6"/>
  <c r="L8" i="6" s="1"/>
  <c r="K8" i="6"/>
  <c r="M8" i="7" l="1"/>
  <c r="M10" i="7" s="1"/>
  <c r="M6" i="6"/>
  <c r="M4" i="6"/>
  <c r="D5" i="8"/>
  <c r="M7" i="6"/>
  <c r="M5" i="6"/>
  <c r="M8" i="6" l="1"/>
  <c r="D4" i="8" s="1"/>
  <c r="D6" i="8" s="1"/>
  <c r="D7" i="8" l="1"/>
  <c r="B11" i="8"/>
  <c r="D9" i="8"/>
</calcChain>
</file>

<file path=xl/sharedStrings.xml><?xml version="1.0" encoding="utf-8"?>
<sst xmlns="http://schemas.openxmlformats.org/spreadsheetml/2006/main" count="253" uniqueCount="164">
  <si>
    <t>NEO PSP Financial Modelling Framework — Workbook Guide</t>
  </si>
  <si>
    <t>Purpose</t>
  </si>
  <si>
    <t>This workbook is a structural skeleton for the NEO PSP 3–5 year financial business case. It contains no confidential Banglalink or VEON figures. Yellow-filled cells are analyst inputs; illustrative placeholder values (clearly marked) show the expected format only — they must be replaced with real inputs before this model is used for decision-making.</t>
  </si>
  <si>
    <t>Color legend</t>
  </si>
  <si>
    <t>Yellow fill, blue text</t>
  </si>
  <si>
    <t>→ Analyst input / assumption — edit these</t>
  </si>
  <si>
    <t>Black text</t>
  </si>
  <si>
    <t>→ Formula, same-sheet calculation — do not hardcode over these</t>
  </si>
  <si>
    <t>Green text</t>
  </si>
  <si>
    <t>→ Link pulling from another tab</t>
  </si>
  <si>
    <t>Coral header</t>
  </si>
  <si>
    <t>→ Section label within a tab</t>
  </si>
  <si>
    <t>Tab structure</t>
  </si>
  <si>
    <t>1. Assumptions - Revenue</t>
  </si>
  <si>
    <t>Revenue driver inputs by scenario: MDR, disbursement fees, remittance fees, gateway fees, referral fees</t>
  </si>
  <si>
    <t>2. Assumptions - Cost</t>
  </si>
  <si>
    <t>Cost driver inputs by scenario: CAC, platform cost, compliance cost, headcount, settlement fees</t>
  </si>
  <si>
    <t>3. Growth - Cust &amp; Merchants</t>
  </si>
  <si>
    <t>Quarterly customer/merchant acquisition, churn, and active-base build, Y1–Y3</t>
  </si>
  <si>
    <t>4. Transaction Volume Build</t>
  </si>
  <si>
    <t>Converts customer/merchant base into transaction volume and value by product line</t>
  </si>
  <si>
    <t>5. Revenue Build</t>
  </si>
  <si>
    <t>Applies revenue drivers to transaction volume to build the revenue line by stream</t>
  </si>
  <si>
    <t>6. Cost Build</t>
  </si>
  <si>
    <t>Applies cost drivers to volume/headcount to build the cost line by category</t>
  </si>
  <si>
    <t>7. P&amp;L Summary</t>
  </si>
  <si>
    <t>Consolidated 3-year P&amp;L, EBITDA, breakeven marker, payback period</t>
  </si>
  <si>
    <t>8. Scenario Control</t>
  </si>
  <si>
    <t>Single dropdown driving Conservative / Base / Aggressive across all tabs</t>
  </si>
  <si>
    <t>9. Sensitivity Analysis</t>
  </si>
  <si>
    <t>Two-variable grid: merchant acquisition pace x MDR, output = Year 3 EBITDA</t>
  </si>
  <si>
    <t>10. KPI Dashboard</t>
  </si>
  <si>
    <t>The 6 governing KPIs from the business model, with formula linkage back to source tabs</t>
  </si>
  <si>
    <t>Build sequence for the analyst</t>
  </si>
  <si>
    <t>1. Populate Assumptions - Revenue and Assumptions - Cost for all three scenarios first — every downstream tab reads from these.</t>
  </si>
  <si>
    <t>2. Populate Growth - Customers &amp; Merchants with real or benchmarked quarterly acquisition and churn assumptions.</t>
  </si>
  <si>
    <t>3. Confirm Transaction Volume Build formulas pull correctly from tab 3 before touching Revenue/Cost Build.</t>
  </si>
  <si>
    <t>4. Revenue Build and Cost Build should require no hardcoded numbers — every cell is a formula referencing tabs 1–4.</t>
  </si>
  <si>
    <t>5. P&amp;L Summary consolidates 5 and 6. Verify EBITDA breakeven quarter is flagged correctly before presenting.</t>
  </si>
  <si>
    <t>6. Scenario Control tab must be wired via INDEX/MATCH into tabs 1–2 before Sensitivity Analysis will produce meaningful ranges.</t>
  </si>
  <si>
    <t>7. KPI Dashboard should be built last, once the model is fully linked.</t>
  </si>
  <si>
    <t>Explicit exclusions</t>
  </si>
  <si>
    <t>No actual Banglalink subscriber counts, NEO PSP budget figures, or VEON capital allocation amounts are entered anywhere in this workbook. All illustrative values are round placeholder numbers for format demonstration only and are labeled ILLUSTRATIVE in an adjacent cell comment.</t>
  </si>
  <si>
    <t>Revenue Driver Assumptions (by scenario)</t>
  </si>
  <si>
    <t>Revenue driver</t>
  </si>
  <si>
    <t>Conservative</t>
  </si>
  <si>
    <t>Base</t>
  </si>
  <si>
    <t>Aggressive</t>
  </si>
  <si>
    <t>Unit</t>
  </si>
  <si>
    <t>Source / rationale</t>
  </si>
  <si>
    <t>Merchant discount rate (MDR)</t>
  </si>
  <si>
    <t>% of txn value</t>
  </si>
  <si>
    <t>Bangladesh Bank floor = 1.0% under Bangla QR; range reflects promotional discounting vs. premium tiers</t>
  </si>
  <si>
    <t>B2B disbursement fee</t>
  </si>
  <si>
    <t>% of disbursed value</t>
  </si>
  <si>
    <t>[ANALYST INPUT — benchmark against comparable payroll/vendor disbursement fee structures]</t>
  </si>
  <si>
    <t>Remittance fee</t>
  </si>
  <si>
    <t>% of remitted value</t>
  </si>
  <si>
    <t>[ANALYST INPUT — benchmark against MFS remittance fee precedent]</t>
  </si>
  <si>
    <t>Gateway / API fee</t>
  </si>
  <si>
    <t>% of gateway txn value</t>
  </si>
  <si>
    <t>[ANALYST INPUT — Horizon 2+ revenue line, e-commerce integrations]</t>
  </si>
  <si>
    <t>Data / referral fee per qualified referral</t>
  </si>
  <si>
    <t>BDT per referral</t>
  </si>
  <si>
    <t>[ANALYST INPUT — Horizon 3, dependent on partner bank/NBFI agreements]</t>
  </si>
  <si>
    <t>ILLUSTRATIVE placeholder values shown — not actual NEO PSP or Banglalink projections. Replace with sourced or benchmarked figures before use.</t>
  </si>
  <si>
    <t>Cost Driver Assumptions (by scenario)</t>
  </si>
  <si>
    <t>Cost per active merchant acquired (CAC)</t>
  </si>
  <si>
    <t>BDT / merchant</t>
  </si>
  <si>
    <t>Cost per active customer acquired</t>
  </si>
  <si>
    <t>BDT / customer</t>
  </si>
  <si>
    <t>Lower than merchant CAC given near-zero-cost Banglalink base channel</t>
  </si>
  <si>
    <t>Platform / technology cost (Huawei + infra)</t>
  </si>
  <si>
    <t>Index, Y1=1.0</t>
  </si>
  <si>
    <t>Compliance / licensing cost</t>
  </si>
  <si>
    <t>Settlement / NPSB processing fee</t>
  </si>
  <si>
    <t>[ANALYST INPUT — confirm against NPSB fee schedule]</t>
  </si>
  <si>
    <t>Headcount build (FTE, cumulative)</t>
  </si>
  <si>
    <t>FTE by Y3</t>
  </si>
  <si>
    <t>ILLUSTRATIVE placeholder values shown — not actual NEO PSP or Banglalink cost figures. Items marked [ANALYST INPUT] require sourcing before use.</t>
  </si>
  <si>
    <t>Customer &amp; Merchant Growth Build (quarterly, Y1–Y3)</t>
  </si>
  <si>
    <t>Quarter</t>
  </si>
  <si>
    <t>Y1Q1</t>
  </si>
  <si>
    <t>Y1Q2</t>
  </si>
  <si>
    <t>Y1Q3</t>
  </si>
  <si>
    <t>Y1Q4</t>
  </si>
  <si>
    <t>Y2Q1</t>
  </si>
  <si>
    <t>Y2Q2</t>
  </si>
  <si>
    <t>Y2Q3</t>
  </si>
  <si>
    <t>Y2Q4</t>
  </si>
  <si>
    <t>Y3Q1</t>
  </si>
  <si>
    <t>Y3Q2</t>
  </si>
  <si>
    <t>Y3Q3</t>
  </si>
  <si>
    <t>Y3Q4</t>
  </si>
  <si>
    <t>Customers</t>
  </si>
  <si>
    <t>New customers acquired (input)</t>
  </si>
  <si>
    <t>Churn rate (input, % of active base)</t>
  </si>
  <si>
    <t>Active customer base (cumulative)</t>
  </si>
  <si>
    <t>Merchants</t>
  </si>
  <si>
    <t>New merchants acquired (input)</t>
  </si>
  <si>
    <t>Merchant churn rate (input)</t>
  </si>
  <si>
    <t>Active merchant base (cumulative)</t>
  </si>
  <si>
    <t>ILLUSTRATIVE placeholder acquisition/churn values — replace with real Horizon 1–3 targets from the Growth Framework before use. Row references: active customer base row = 7; active merchant base row = 12.</t>
  </si>
  <si>
    <t>Transaction Volume &amp; Value Build</t>
  </si>
  <si>
    <t>Avg. transactions per active customer / qtr (input)</t>
  </si>
  <si>
    <t>Avg. transaction value, BDT (input)</t>
  </si>
  <si>
    <t>Active customer base (link)</t>
  </si>
  <si>
    <t>Consumer transaction volume (count)</t>
  </si>
  <si>
    <t>Consumer transaction value (BDT)</t>
  </si>
  <si>
    <t>Active merchant base (link)</t>
  </si>
  <si>
    <t>Avg. merchant settlement value / qtr, BDT (input)</t>
  </si>
  <si>
    <t>Merchant transaction value (BDT)</t>
  </si>
  <si>
    <t>Consumer transaction value row = 8; merchant transaction value row = 12. These two rows feed the Revenue Build tab.</t>
  </si>
  <si>
    <t>Revenue Build by Stream</t>
  </si>
  <si>
    <t>MDR revenue (consumer + merchant txn value × MDR)</t>
  </si>
  <si>
    <t>B2B disbursement fee revenue</t>
  </si>
  <si>
    <t>Remittance fee revenue</t>
  </si>
  <si>
    <t>Gateway / API fee revenue</t>
  </si>
  <si>
    <t>Total revenue</t>
  </si>
  <si>
    <t>Note: multipliers (0.3, 0.05, 0.1) are placeholder allocation shares of total volume by product line — [ANALYST INPUT: replace with real product-mix assumptions once Horizon 1 data exists]. Total revenue row = 8.</t>
  </si>
  <si>
    <t>Cost Build by Category</t>
  </si>
  <si>
    <t>Merchant acquisition cost</t>
  </si>
  <si>
    <t>Customer acquisition cost</t>
  </si>
  <si>
    <t>Platform / technology cost (input index × base, BDT)</t>
  </si>
  <si>
    <t>Compliance / licensing cost (input, BDT)</t>
  </si>
  <si>
    <t>Settlement / processing cost</t>
  </si>
  <si>
    <t>Headcount / people cost (input, BDT)</t>
  </si>
  <si>
    <t>Total cost</t>
  </si>
  <si>
    <t>Platform, compliance, and headcount costs are entered as direct BDT inputs (not derivable from public data) — [ANALYST INPUT]. Total cost row = 10.</t>
  </si>
  <si>
    <t>P&amp;L Summary (Annualized, Y1–Y3)</t>
  </si>
  <si>
    <t>Year 1</t>
  </si>
  <si>
    <t>Year 2</t>
  </si>
  <si>
    <t>Year 3</t>
  </si>
  <si>
    <t>EBITDA</t>
  </si>
  <si>
    <t>EBITDA margin</t>
  </si>
  <si>
    <t>Cumulative EBITDA (for payback)</t>
  </si>
  <si>
    <t>Breakeven flag (EBITDA-positive year)</t>
  </si>
  <si>
    <t>NPV/IRR and payback period should be computed here once monthly (not annualized) cash flows and a discount rate assumption are added — [ANALYST INPUT: WACC/discount rate].</t>
  </si>
  <si>
    <t>Scenario Control</t>
  </si>
  <si>
    <t>Active scenario</t>
  </si>
  <si>
    <t>Wiring instructions: replace the hardcoded '$C$4' / '$C$5' style references in Revenue Build and Cost Build with =INDEX(range, MATCH($B$3,{"Conservative","Base","Aggressive"},0)) once this control is finalized, so every downstream tab responds to a single scenario toggle here.</t>
  </si>
  <si>
    <t>Sensitivity Analysis — Year 3 EBITDA</t>
  </si>
  <si>
    <t>Two-variable grid: rows = merchant acquisition pace (% of Base), columns = MDR (bps)</t>
  </si>
  <si>
    <t>Merchant pace \ MDR (bps)</t>
  </si>
  <si>
    <t>70%</t>
  </si>
  <si>
    <t>[LINK TO Y3 EBITDA]</t>
  </si>
  <si>
    <t>85%</t>
  </si>
  <si>
    <t>100% (Base)</t>
  </si>
  <si>
    <t>115%</t>
  </si>
  <si>
    <t>130%</t>
  </si>
  <si>
    <t>Each cell should be built as a formula referencing a duplicated Growth/Revenue Build calculation with the row's merchant-pace multiplier and column's MDR applied — or, for analysts comfortable with it, an Excel What-If Data Table referencing '7. P&amp;L Summary'!D6 as the formula cell (top-left corner), with merchant pace and MDR as row/column input cells. Avoid relying on Excel's native Data Table feature if this file may be opened in non-Excel tools — explicit formulas are more portable.</t>
  </si>
  <si>
    <t>KPI Dashboard — Governing Metrics</t>
  </si>
  <si>
    <t>KPI</t>
  </si>
  <si>
    <t>Active merchant count (Y-end)</t>
  </si>
  <si>
    <t>Active customer count (Y-end)</t>
  </si>
  <si>
    <t>Cost per active merchant acquired</t>
  </si>
  <si>
    <t>[LINK / ANALYST INPUT]</t>
  </si>
  <si>
    <t>Transaction volume per active merchant</t>
  </si>
  <si>
    <t>Settlement reliability / uptime (%)</t>
  </si>
  <si>
    <t>Settlement reliability/uptime is an operational metric, not derivable from this financial model — source from platform monitoring once live. This dashboard tab should mirror the standalone KPI Dashboard deliverable.</t>
  </si>
  <si>
    <t>[ANALYST INPUT ; benchmark against comparable PSP/MFS merchant CAC]</t>
  </si>
  <si>
    <t>[ANALYST INPUT ; per Huawei partnership commercial terms, confidential]</t>
  </si>
  <si>
    <t>AML/CFT, ISMS/PCI, regulatory reporting ; [ANALYST INPUT]</t>
  </si>
  <si>
    <t>Merchant acquisition, risk/compliance, product ; [ANALYST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</si>
</sst>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charset val="1"/>
    </font>
    <font>
      <b/>
      <sz val="13"/>
      <color rgb="FFFFFFFF"/>
      <name val="Arial"/>
      <charset val="1"/>
    </font>
    <font>
      <b/>
      <sz val="11"/>
      <color rgb="FF1B2A4A"/>
      <name val="Arial"/>
      <charset val="1"/>
    </font>
    <font>
      <i/>
      <sz val="9"/>
      <color rgb="FF777777"/>
      <name val="Arial"/>
      <charset val="1"/>
    </font>
    <font>
      <sz val="10"/>
      <color rgb="FF0000FF"/>
      <name val="Arial"/>
      <charset val="1"/>
    </font>
    <font>
      <sz val="10"/>
      <color rgb="FF000000"/>
      <name val="Arial"/>
      <charset val="1"/>
    </font>
    <font>
      <sz val="10"/>
      <color rgb="FF008000"/>
      <name val="Arial"/>
      <charset val="1"/>
    </font>
    <font>
      <b/>
      <sz val="10"/>
      <color rgb="FFD85A30"/>
      <name val="Arial"/>
      <charset val="1"/>
    </font>
    <font>
      <b/>
      <sz val="10"/>
      <color rgb="FF0F6E56"/>
      <name val="Arial"/>
      <charset val="1"/>
    </font>
    <font>
      <b/>
      <sz val="10"/>
      <color rgb="FFFFFFFF"/>
      <name val="Arial"/>
      <charset val="1"/>
    </font>
    <font>
      <i/>
      <sz val="10"/>
      <color rgb="FF777777"/>
      <name val="Arial"/>
      <charset val="1"/>
    </font>
    <font>
      <b/>
      <sz val="11"/>
      <color rgb="FFD85A30"/>
      <name val="Arial"/>
      <charset val="1"/>
    </font>
    <font>
      <b/>
      <sz val="10"/>
      <color rgb="FF000000"/>
      <name val="Arial"/>
      <charset val="1"/>
    </font>
    <font>
      <b/>
      <sz val="10"/>
      <name val="Arial"/>
      <charset val="1"/>
    </font>
    <font>
      <sz val="9"/>
      <name val="Arial"/>
      <family val="2"/>
    </font>
    <font>
      <sz val="10"/>
      <name val="Arial"/>
      <family val="2"/>
    </font>
  </fonts>
  <fills count="5">
    <fill>
      <patternFill patternType="none"/>
    </fill>
    <fill>
      <patternFill patternType="gray125"/>
    </fill>
    <fill>
      <patternFill patternType="solid">
        <fgColor rgb="FF1B2A4A"/>
        <bgColor rgb="FF003366"/>
      </patternFill>
    </fill>
    <fill>
      <patternFill patternType="solid">
        <fgColor rgb="FFFFFFCC"/>
        <bgColor rgb="FFFFFFFF"/>
      </patternFill>
    </fill>
    <fill>
      <patternFill patternType="solid">
        <fgColor rgb="FFD85A30"/>
        <bgColor rgb="FFFF8080"/>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vertical="center" indent="1"/>
    </xf>
    <xf numFmtId="0" fontId="2" fillId="0" borderId="0" xfId="0" applyFont="1"/>
    <xf numFmtId="0" fontId="4" fillId="3"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9" fillId="4" borderId="0" xfId="0" applyFont="1" applyFill="1" applyAlignment="1">
      <alignment vertical="center" wrapText="1"/>
    </xf>
    <xf numFmtId="164" fontId="4" fillId="3" borderId="0" xfId="0" applyNumberFormat="1" applyFont="1" applyFill="1"/>
    <xf numFmtId="0" fontId="10" fillId="0" borderId="0" xfId="0" applyFont="1"/>
    <xf numFmtId="3" fontId="4" fillId="3" borderId="0" xfId="0" applyNumberFormat="1" applyFont="1" applyFill="1"/>
    <xf numFmtId="165" fontId="4" fillId="3" borderId="0" xfId="0" applyNumberFormat="1" applyFont="1" applyFill="1"/>
    <xf numFmtId="10" fontId="4" fillId="3" borderId="0" xfId="0" applyNumberFormat="1" applyFont="1" applyFill="1"/>
    <xf numFmtId="0" fontId="9" fillId="2" borderId="0" xfId="0" applyFont="1" applyFill="1" applyAlignment="1">
      <alignment vertical="center" wrapText="1"/>
    </xf>
    <xf numFmtId="0" fontId="11" fillId="0" borderId="0" xfId="0" applyFont="1"/>
    <xf numFmtId="3" fontId="5" fillId="0" borderId="0" xfId="0" applyNumberFormat="1" applyFont="1"/>
    <xf numFmtId="3" fontId="6" fillId="0" borderId="0" xfId="0" applyNumberFormat="1" applyFont="1"/>
    <xf numFmtId="0" fontId="12" fillId="0" borderId="0" xfId="0" applyFont="1"/>
    <xf numFmtId="3" fontId="13" fillId="0" borderId="0" xfId="0" applyNumberFormat="1" applyFont="1"/>
    <xf numFmtId="164" fontId="5" fillId="0" borderId="0" xfId="0" applyNumberFormat="1" applyFont="1"/>
    <xf numFmtId="0" fontId="3" fillId="0" borderId="0" xfId="0" applyFont="1"/>
    <xf numFmtId="0" fontId="14" fillId="0" borderId="0" xfId="0" applyFont="1" applyAlignment="1">
      <alignment vertical="top" wrapText="1"/>
    </xf>
    <xf numFmtId="0" fontId="15" fillId="0" borderId="0" xfId="0" applyFont="1"/>
    <xf numFmtId="0" fontId="1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C0C0C0"/>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85A30"/>
      <rgbColor rgb="FF666699"/>
      <rgbColor rgb="FF999999"/>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showGridLines="0" zoomScaleNormal="100" workbookViewId="0">
      <selection activeCell="H26" sqref="H26"/>
    </sheetView>
  </sheetViews>
  <sheetFormatPr defaultColWidth="8.7109375" defaultRowHeight="15" x14ac:dyDescent="0.25"/>
  <cols>
    <col min="1" max="1" width="4" customWidth="1"/>
    <col min="2" max="8" width="26" customWidth="1"/>
  </cols>
  <sheetData>
    <row r="1" spans="1:8" ht="24" customHeight="1" x14ac:dyDescent="0.25">
      <c r="A1" s="1" t="s">
        <v>0</v>
      </c>
      <c r="B1" s="1"/>
      <c r="C1" s="1"/>
      <c r="D1" s="1"/>
      <c r="E1" s="1"/>
      <c r="F1" s="1"/>
      <c r="G1" s="1"/>
      <c r="H1" s="1"/>
    </row>
    <row r="3" spans="1:8" x14ac:dyDescent="0.25">
      <c r="B3" s="2" t="s">
        <v>1</v>
      </c>
    </row>
    <row r="4" spans="1:8" ht="22.35" customHeight="1" x14ac:dyDescent="0.25">
      <c r="B4" s="22" t="s">
        <v>2</v>
      </c>
      <c r="C4" s="22"/>
      <c r="D4" s="22"/>
      <c r="E4" s="22"/>
      <c r="F4" s="22"/>
      <c r="G4" s="22"/>
    </row>
    <row r="7" spans="1:8" x14ac:dyDescent="0.25">
      <c r="B7" s="2" t="s">
        <v>3</v>
      </c>
    </row>
    <row r="8" spans="1:8" x14ac:dyDescent="0.25">
      <c r="B8" s="3" t="s">
        <v>4</v>
      </c>
      <c r="D8" s="4" t="s">
        <v>5</v>
      </c>
    </row>
    <row r="9" spans="1:8" x14ac:dyDescent="0.25">
      <c r="B9" s="4" t="s">
        <v>6</v>
      </c>
      <c r="D9" s="4" t="s">
        <v>7</v>
      </c>
    </row>
    <row r="10" spans="1:8" x14ac:dyDescent="0.25">
      <c r="B10" s="5" t="s">
        <v>8</v>
      </c>
      <c r="D10" s="4" t="s">
        <v>9</v>
      </c>
    </row>
    <row r="11" spans="1:8" x14ac:dyDescent="0.25">
      <c r="B11" s="6" t="s">
        <v>10</v>
      </c>
      <c r="D11" s="4" t="s">
        <v>11</v>
      </c>
    </row>
    <row r="14" spans="1:8" x14ac:dyDescent="0.25">
      <c r="B14" s="2" t="s">
        <v>12</v>
      </c>
    </row>
    <row r="15" spans="1:8" ht="15" customHeight="1" x14ac:dyDescent="0.25">
      <c r="B15" s="7" t="s">
        <v>13</v>
      </c>
      <c r="C15" s="22" t="s">
        <v>14</v>
      </c>
      <c r="D15" s="22"/>
      <c r="E15" s="22"/>
      <c r="F15" s="22"/>
      <c r="G15" s="22"/>
    </row>
    <row r="16" spans="1:8" ht="15" customHeight="1" x14ac:dyDescent="0.25">
      <c r="B16" s="7" t="s">
        <v>15</v>
      </c>
      <c r="C16" s="22" t="s">
        <v>16</v>
      </c>
      <c r="D16" s="22"/>
      <c r="E16" s="22"/>
      <c r="F16" s="22"/>
      <c r="G16" s="22"/>
    </row>
    <row r="17" spans="2:7" ht="15" customHeight="1" x14ac:dyDescent="0.25">
      <c r="B17" s="7" t="s">
        <v>17</v>
      </c>
      <c r="C17" s="22" t="s">
        <v>18</v>
      </c>
      <c r="D17" s="22"/>
      <c r="E17" s="22"/>
      <c r="F17" s="22"/>
      <c r="G17" s="22"/>
    </row>
    <row r="18" spans="2:7" ht="15" customHeight="1" x14ac:dyDescent="0.25">
      <c r="B18" s="7" t="s">
        <v>19</v>
      </c>
      <c r="C18" s="22" t="s">
        <v>20</v>
      </c>
      <c r="D18" s="22"/>
      <c r="E18" s="22"/>
      <c r="F18" s="22"/>
      <c r="G18" s="22"/>
    </row>
    <row r="19" spans="2:7" ht="15" customHeight="1" x14ac:dyDescent="0.25">
      <c r="B19" s="7" t="s">
        <v>21</v>
      </c>
      <c r="C19" s="22" t="s">
        <v>22</v>
      </c>
      <c r="D19" s="22"/>
      <c r="E19" s="22"/>
      <c r="F19" s="22"/>
      <c r="G19" s="22"/>
    </row>
    <row r="20" spans="2:7" ht="15" customHeight="1" x14ac:dyDescent="0.25">
      <c r="B20" s="7" t="s">
        <v>23</v>
      </c>
      <c r="C20" s="22" t="s">
        <v>24</v>
      </c>
      <c r="D20" s="22"/>
      <c r="E20" s="22"/>
      <c r="F20" s="22"/>
      <c r="G20" s="22"/>
    </row>
    <row r="21" spans="2:7" ht="15" customHeight="1" x14ac:dyDescent="0.25">
      <c r="B21" s="7" t="s">
        <v>25</v>
      </c>
      <c r="C21" s="22" t="s">
        <v>26</v>
      </c>
      <c r="D21" s="22"/>
      <c r="E21" s="22"/>
      <c r="F21" s="22"/>
      <c r="G21" s="22"/>
    </row>
    <row r="22" spans="2:7" ht="15" customHeight="1" x14ac:dyDescent="0.25">
      <c r="B22" s="7" t="s">
        <v>27</v>
      </c>
      <c r="C22" s="22" t="s">
        <v>28</v>
      </c>
      <c r="D22" s="22"/>
      <c r="E22" s="22"/>
      <c r="F22" s="22"/>
      <c r="G22" s="22"/>
    </row>
    <row r="23" spans="2:7" ht="15" customHeight="1" x14ac:dyDescent="0.25">
      <c r="B23" s="7" t="s">
        <v>29</v>
      </c>
      <c r="C23" s="22" t="s">
        <v>30</v>
      </c>
      <c r="D23" s="22"/>
      <c r="E23" s="22"/>
      <c r="F23" s="22"/>
      <c r="G23" s="22"/>
    </row>
    <row r="24" spans="2:7" ht="15" customHeight="1" x14ac:dyDescent="0.25">
      <c r="B24" s="7" t="s">
        <v>31</v>
      </c>
      <c r="C24" s="22" t="s">
        <v>32</v>
      </c>
      <c r="D24" s="22"/>
      <c r="E24" s="22"/>
      <c r="F24" s="22"/>
      <c r="G24" s="22"/>
    </row>
    <row r="26" spans="2:7" x14ac:dyDescent="0.25">
      <c r="B26" s="2" t="s">
        <v>33</v>
      </c>
    </row>
    <row r="27" spans="2:7" ht="15" customHeight="1" x14ac:dyDescent="0.25">
      <c r="B27" s="22" t="s">
        <v>34</v>
      </c>
      <c r="C27" s="22"/>
      <c r="D27" s="22"/>
      <c r="E27" s="22"/>
      <c r="F27" s="22"/>
      <c r="G27" s="22"/>
    </row>
    <row r="28" spans="2:7" ht="15" customHeight="1" x14ac:dyDescent="0.25">
      <c r="B28" s="22" t="s">
        <v>35</v>
      </c>
      <c r="C28" s="22"/>
      <c r="D28" s="22"/>
      <c r="E28" s="22"/>
      <c r="F28" s="22"/>
      <c r="G28" s="22"/>
    </row>
    <row r="29" spans="2:7" ht="15" customHeight="1" x14ac:dyDescent="0.25">
      <c r="B29" s="22" t="s">
        <v>36</v>
      </c>
      <c r="C29" s="22"/>
      <c r="D29" s="22"/>
      <c r="E29" s="22"/>
      <c r="F29" s="22"/>
      <c r="G29" s="22"/>
    </row>
    <row r="30" spans="2:7" ht="15" customHeight="1" x14ac:dyDescent="0.25">
      <c r="B30" s="22" t="s">
        <v>37</v>
      </c>
      <c r="C30" s="22"/>
      <c r="D30" s="22"/>
      <c r="E30" s="22"/>
      <c r="F30" s="22"/>
      <c r="G30" s="22"/>
    </row>
    <row r="31" spans="2:7" ht="15" customHeight="1" x14ac:dyDescent="0.25">
      <c r="B31" s="22" t="s">
        <v>38</v>
      </c>
      <c r="C31" s="22"/>
      <c r="D31" s="22"/>
      <c r="E31" s="22"/>
      <c r="F31" s="22"/>
      <c r="G31" s="22"/>
    </row>
    <row r="32" spans="2:7" ht="15" customHeight="1" x14ac:dyDescent="0.25">
      <c r="B32" s="22" t="s">
        <v>39</v>
      </c>
      <c r="C32" s="22"/>
      <c r="D32" s="22"/>
      <c r="E32" s="22"/>
      <c r="F32" s="22"/>
      <c r="G32" s="22"/>
    </row>
    <row r="33" spans="2:7" ht="15" customHeight="1" x14ac:dyDescent="0.25">
      <c r="B33" s="22" t="s">
        <v>40</v>
      </c>
      <c r="C33" s="22"/>
      <c r="D33" s="22"/>
      <c r="E33" s="22"/>
      <c r="F33" s="22"/>
      <c r="G33" s="22"/>
    </row>
    <row r="35" spans="2:7" x14ac:dyDescent="0.25">
      <c r="B35" s="2" t="s">
        <v>41</v>
      </c>
    </row>
    <row r="36" spans="2:7" ht="22.35" customHeight="1" x14ac:dyDescent="0.25">
      <c r="B36" s="22" t="s">
        <v>42</v>
      </c>
      <c r="C36" s="22"/>
      <c r="D36" s="22"/>
      <c r="E36" s="22"/>
      <c r="F36" s="22"/>
      <c r="G36" s="22"/>
    </row>
  </sheetData>
  <mergeCells count="20">
    <mergeCell ref="B30:G30"/>
    <mergeCell ref="B31:G31"/>
    <mergeCell ref="B32:G32"/>
    <mergeCell ref="B33:G33"/>
    <mergeCell ref="B36:G36"/>
    <mergeCell ref="C23:G23"/>
    <mergeCell ref="C24:G24"/>
    <mergeCell ref="B27:G27"/>
    <mergeCell ref="B28:G28"/>
    <mergeCell ref="B29:G29"/>
    <mergeCell ref="C18:G18"/>
    <mergeCell ref="C19:G19"/>
    <mergeCell ref="C20:G20"/>
    <mergeCell ref="C21:G21"/>
    <mergeCell ref="C22:G22"/>
    <mergeCell ref="A1:H1"/>
    <mergeCell ref="B4:G4"/>
    <mergeCell ref="C15:G15"/>
    <mergeCell ref="C16:G16"/>
    <mergeCell ref="C17:G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showGridLines="0" tabSelected="1" zoomScaleNormal="100" workbookViewId="0">
      <selection activeCell="G17" sqref="G17"/>
    </sheetView>
  </sheetViews>
  <sheetFormatPr defaultColWidth="8.7109375" defaultRowHeight="15" x14ac:dyDescent="0.25"/>
  <cols>
    <col min="1" max="1" width="30" customWidth="1"/>
    <col min="2" max="7" width="16" customWidth="1"/>
  </cols>
  <sheetData>
    <row r="1" spans="1:7" ht="24" customHeight="1" x14ac:dyDescent="0.25">
      <c r="A1" s="1" t="s">
        <v>43</v>
      </c>
      <c r="B1" s="1"/>
      <c r="C1" s="1"/>
      <c r="D1" s="1"/>
      <c r="E1" s="1"/>
      <c r="F1" s="1"/>
      <c r="G1" s="1"/>
    </row>
    <row r="3" spans="1:7" ht="25.5" x14ac:dyDescent="0.25">
      <c r="A3" s="8" t="s">
        <v>44</v>
      </c>
      <c r="B3" s="8" t="s">
        <v>45</v>
      </c>
      <c r="C3" s="8" t="s">
        <v>46</v>
      </c>
      <c r="D3" s="8" t="s">
        <v>47</v>
      </c>
      <c r="E3" s="8" t="s">
        <v>48</v>
      </c>
      <c r="F3" s="8" t="s">
        <v>49</v>
      </c>
    </row>
    <row r="4" spans="1:7" ht="32.85" customHeight="1" x14ac:dyDescent="0.25">
      <c r="A4" s="4" t="s">
        <v>50</v>
      </c>
      <c r="B4" s="9">
        <v>8.0000000000000002E-3</v>
      </c>
      <c r="C4" s="9">
        <v>0.01</v>
      </c>
      <c r="D4" s="9">
        <v>1.2E-2</v>
      </c>
      <c r="E4" s="23" t="s">
        <v>51</v>
      </c>
      <c r="F4" s="22" t="s">
        <v>52</v>
      </c>
      <c r="G4" s="22"/>
    </row>
    <row r="5" spans="1:7" ht="32.85" customHeight="1" x14ac:dyDescent="0.25">
      <c r="A5" s="4" t="s">
        <v>53</v>
      </c>
      <c r="B5" s="9">
        <v>3.0000000000000001E-3</v>
      </c>
      <c r="C5" s="9">
        <v>5.0000000000000001E-3</v>
      </c>
      <c r="D5" s="9">
        <v>7.0000000000000001E-3</v>
      </c>
      <c r="E5" s="23" t="s">
        <v>54</v>
      </c>
      <c r="F5" s="22" t="s">
        <v>55</v>
      </c>
      <c r="G5" s="22"/>
    </row>
    <row r="6" spans="1:7" ht="22.35" customHeight="1" x14ac:dyDescent="0.25">
      <c r="A6" s="4" t="s">
        <v>56</v>
      </c>
      <c r="B6" s="9">
        <v>0.01</v>
      </c>
      <c r="C6" s="9">
        <v>1.4999999999999999E-2</v>
      </c>
      <c r="D6" s="9">
        <v>0.02</v>
      </c>
      <c r="E6" s="23" t="s">
        <v>57</v>
      </c>
      <c r="F6" s="22" t="s">
        <v>58</v>
      </c>
      <c r="G6" s="22"/>
    </row>
    <row r="7" spans="1:7" ht="22.35" customHeight="1" x14ac:dyDescent="0.25">
      <c r="A7" s="4" t="s">
        <v>59</v>
      </c>
      <c r="B7" s="9">
        <v>5.0000000000000001E-3</v>
      </c>
      <c r="C7" s="9">
        <v>7.0000000000000001E-3</v>
      </c>
      <c r="D7" s="9">
        <v>8.9999999999999993E-3</v>
      </c>
      <c r="E7" s="23" t="s">
        <v>60</v>
      </c>
      <c r="F7" s="22" t="s">
        <v>61</v>
      </c>
      <c r="G7" s="22"/>
    </row>
    <row r="8" spans="1:7" ht="32.85" customHeight="1" x14ac:dyDescent="0.25">
      <c r="A8" s="4" t="s">
        <v>62</v>
      </c>
      <c r="B8" s="11">
        <v>50</v>
      </c>
      <c r="C8" s="11">
        <v>75</v>
      </c>
      <c r="D8" s="11">
        <v>100</v>
      </c>
      <c r="E8" s="23" t="s">
        <v>63</v>
      </c>
      <c r="F8" s="22" t="s">
        <v>64</v>
      </c>
      <c r="G8" s="22"/>
    </row>
    <row r="10" spans="1:7" ht="22.35" customHeight="1" x14ac:dyDescent="0.25">
      <c r="A10" s="22" t="s">
        <v>65</v>
      </c>
      <c r="B10" s="22"/>
      <c r="C10" s="22"/>
      <c r="D10" s="22"/>
      <c r="E10" s="22"/>
      <c r="F10" s="22"/>
    </row>
  </sheetData>
  <mergeCells count="7">
    <mergeCell ref="F8:G8"/>
    <mergeCell ref="A10:F10"/>
    <mergeCell ref="A1:G1"/>
    <mergeCell ref="F4:G4"/>
    <mergeCell ref="F5:G5"/>
    <mergeCell ref="F6:G6"/>
    <mergeCell ref="F7:G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showGridLines="0" zoomScaleNormal="100" workbookViewId="0">
      <selection activeCell="C14" sqref="C14"/>
    </sheetView>
  </sheetViews>
  <sheetFormatPr defaultColWidth="8.7109375" defaultRowHeight="15" x14ac:dyDescent="0.25"/>
  <cols>
    <col min="1" max="1" width="30" customWidth="1"/>
    <col min="2" max="7" width="16" customWidth="1"/>
  </cols>
  <sheetData>
    <row r="1" spans="1:7" ht="24" customHeight="1" x14ac:dyDescent="0.25">
      <c r="A1" s="1" t="s">
        <v>66</v>
      </c>
      <c r="B1" s="1"/>
      <c r="C1" s="1"/>
      <c r="D1" s="1"/>
      <c r="E1" s="1"/>
      <c r="F1" s="1"/>
      <c r="G1" s="1"/>
    </row>
    <row r="3" spans="1:7" ht="25.5" x14ac:dyDescent="0.25">
      <c r="A3" s="8" t="s">
        <v>44</v>
      </c>
      <c r="B3" s="8" t="s">
        <v>45</v>
      </c>
      <c r="C3" s="8" t="s">
        <v>46</v>
      </c>
      <c r="D3" s="8" t="s">
        <v>47</v>
      </c>
      <c r="E3" s="8" t="s">
        <v>48</v>
      </c>
      <c r="F3" s="8" t="s">
        <v>49</v>
      </c>
    </row>
    <row r="4" spans="1:7" ht="22.35" customHeight="1" x14ac:dyDescent="0.25">
      <c r="A4" s="4" t="s">
        <v>67</v>
      </c>
      <c r="B4" s="11">
        <v>900</v>
      </c>
      <c r="C4" s="11">
        <v>700</v>
      </c>
      <c r="D4" s="11">
        <v>500</v>
      </c>
      <c r="E4" s="10" t="s">
        <v>68</v>
      </c>
      <c r="F4" s="22" t="s">
        <v>160</v>
      </c>
      <c r="G4" s="22"/>
    </row>
    <row r="5" spans="1:7" ht="22.35" customHeight="1" x14ac:dyDescent="0.25">
      <c r="A5" s="4" t="s">
        <v>69</v>
      </c>
      <c r="B5" s="11">
        <v>40</v>
      </c>
      <c r="C5" s="11">
        <v>30</v>
      </c>
      <c r="D5" s="11">
        <v>20</v>
      </c>
      <c r="E5" s="10" t="s">
        <v>70</v>
      </c>
      <c r="F5" s="22" t="s">
        <v>71</v>
      </c>
      <c r="G5" s="22"/>
    </row>
    <row r="6" spans="1:7" ht="32.85" customHeight="1" x14ac:dyDescent="0.25">
      <c r="A6" s="4" t="s">
        <v>72</v>
      </c>
      <c r="B6" s="12">
        <v>1</v>
      </c>
      <c r="C6" s="12">
        <v>1</v>
      </c>
      <c r="D6" s="12">
        <v>1</v>
      </c>
      <c r="E6" s="10" t="s">
        <v>73</v>
      </c>
      <c r="F6" s="22" t="s">
        <v>161</v>
      </c>
      <c r="G6" s="22"/>
    </row>
    <row r="7" spans="1:7" ht="22.35" customHeight="1" x14ac:dyDescent="0.25">
      <c r="A7" s="4" t="s">
        <v>74</v>
      </c>
      <c r="B7" s="12">
        <v>1</v>
      </c>
      <c r="C7" s="12">
        <v>1</v>
      </c>
      <c r="D7" s="12">
        <v>1</v>
      </c>
      <c r="E7" s="10" t="s">
        <v>73</v>
      </c>
      <c r="F7" s="22" t="s">
        <v>162</v>
      </c>
      <c r="G7" s="22"/>
    </row>
    <row r="8" spans="1:7" ht="22.35" customHeight="1" x14ac:dyDescent="0.25">
      <c r="A8" s="4" t="s">
        <v>75</v>
      </c>
      <c r="B8" s="13">
        <v>1E-3</v>
      </c>
      <c r="C8" s="13">
        <v>1.5E-3</v>
      </c>
      <c r="D8" s="13">
        <v>2E-3</v>
      </c>
      <c r="E8" s="10" t="s">
        <v>51</v>
      </c>
      <c r="F8" s="22" t="s">
        <v>76</v>
      </c>
      <c r="G8" s="22"/>
    </row>
    <row r="9" spans="1:7" ht="22.35" customHeight="1" x14ac:dyDescent="0.25">
      <c r="A9" s="4" t="s">
        <v>77</v>
      </c>
      <c r="B9" s="11">
        <v>40</v>
      </c>
      <c r="C9" s="11">
        <v>65</v>
      </c>
      <c r="D9" s="11">
        <v>90</v>
      </c>
      <c r="E9" s="10" t="s">
        <v>78</v>
      </c>
      <c r="F9" s="22" t="s">
        <v>163</v>
      </c>
      <c r="G9" s="22"/>
    </row>
    <row r="11" spans="1:7" ht="22.35" customHeight="1" x14ac:dyDescent="0.25">
      <c r="A11" s="22" t="s">
        <v>79</v>
      </c>
      <c r="B11" s="22"/>
      <c r="C11" s="22"/>
      <c r="D11" s="22"/>
      <c r="E11" s="22"/>
      <c r="F11" s="22"/>
    </row>
  </sheetData>
  <mergeCells count="8">
    <mergeCell ref="F8:G8"/>
    <mergeCell ref="F9:G9"/>
    <mergeCell ref="A11:F11"/>
    <mergeCell ref="A1:G1"/>
    <mergeCell ref="F4:G4"/>
    <mergeCell ref="F5:G5"/>
    <mergeCell ref="F6:G6"/>
    <mergeCell ref="F7:G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
  <sheetViews>
    <sheetView showGridLines="0" zoomScaleNormal="100" workbookViewId="0">
      <selection activeCell="A14" sqref="A14:H14"/>
    </sheetView>
  </sheetViews>
  <sheetFormatPr defaultColWidth="8.7109375" defaultRowHeight="15" x14ac:dyDescent="0.25"/>
  <cols>
    <col min="1" max="1" width="32" customWidth="1"/>
    <col min="2" max="13" width="11" customWidth="1"/>
  </cols>
  <sheetData>
    <row r="1" spans="1:13" ht="24" customHeight="1" x14ac:dyDescent="0.25">
      <c r="A1" s="1" t="s">
        <v>80</v>
      </c>
      <c r="B1" s="1"/>
      <c r="C1" s="1"/>
      <c r="D1" s="1"/>
      <c r="E1" s="1"/>
      <c r="F1" s="1"/>
      <c r="G1" s="1"/>
      <c r="H1" s="1"/>
      <c r="I1" s="1"/>
      <c r="J1" s="1"/>
      <c r="K1" s="1"/>
      <c r="L1" s="1"/>
      <c r="M1" s="1"/>
    </row>
    <row r="3" spans="1:13" x14ac:dyDescent="0.25">
      <c r="A3" s="14" t="s">
        <v>81</v>
      </c>
      <c r="B3" s="14" t="s">
        <v>82</v>
      </c>
      <c r="C3" s="14" t="s">
        <v>83</v>
      </c>
      <c r="D3" s="14" t="s">
        <v>84</v>
      </c>
      <c r="E3" s="14" t="s">
        <v>85</v>
      </c>
      <c r="F3" s="14" t="s">
        <v>86</v>
      </c>
      <c r="G3" s="14" t="s">
        <v>87</v>
      </c>
      <c r="H3" s="14" t="s">
        <v>88</v>
      </c>
      <c r="I3" s="14" t="s">
        <v>89</v>
      </c>
      <c r="J3" s="14" t="s">
        <v>90</v>
      </c>
      <c r="K3" s="14" t="s">
        <v>91</v>
      </c>
      <c r="L3" s="14" t="s">
        <v>92</v>
      </c>
      <c r="M3" s="14" t="s">
        <v>93</v>
      </c>
    </row>
    <row r="4" spans="1:13" x14ac:dyDescent="0.25">
      <c r="A4" s="15" t="s">
        <v>94</v>
      </c>
    </row>
    <row r="5" spans="1:13" x14ac:dyDescent="0.25">
      <c r="A5" s="4" t="s">
        <v>95</v>
      </c>
      <c r="B5" s="11">
        <v>8000</v>
      </c>
      <c r="C5" s="11">
        <v>12000</v>
      </c>
      <c r="D5" s="11">
        <v>15000</v>
      </c>
      <c r="E5" s="11">
        <v>15000</v>
      </c>
      <c r="F5" s="11">
        <v>18000</v>
      </c>
      <c r="G5" s="11">
        <v>18000</v>
      </c>
      <c r="H5" s="11">
        <v>20000</v>
      </c>
      <c r="I5" s="11">
        <v>20000</v>
      </c>
      <c r="J5" s="11">
        <v>22000</v>
      </c>
      <c r="K5" s="11">
        <v>22000</v>
      </c>
      <c r="L5" s="11">
        <v>24000</v>
      </c>
      <c r="M5" s="11">
        <v>24000</v>
      </c>
    </row>
    <row r="6" spans="1:13" x14ac:dyDescent="0.25">
      <c r="A6" s="4" t="s">
        <v>96</v>
      </c>
      <c r="B6" s="9">
        <v>0.03</v>
      </c>
      <c r="C6" s="9">
        <v>0.03</v>
      </c>
      <c r="D6" s="9">
        <v>0.03</v>
      </c>
      <c r="E6" s="9">
        <v>0.03</v>
      </c>
      <c r="F6" s="9">
        <v>0.03</v>
      </c>
      <c r="G6" s="9">
        <v>0.03</v>
      </c>
      <c r="H6" s="9">
        <v>0.03</v>
      </c>
      <c r="I6" s="9">
        <v>0.03</v>
      </c>
      <c r="J6" s="9">
        <v>0.03</v>
      </c>
      <c r="K6" s="9">
        <v>0.03</v>
      </c>
      <c r="L6" s="9">
        <v>0.03</v>
      </c>
      <c r="M6" s="9">
        <v>0.03</v>
      </c>
    </row>
    <row r="7" spans="1:13" x14ac:dyDescent="0.25">
      <c r="A7" s="4" t="s">
        <v>97</v>
      </c>
      <c r="B7" s="16">
        <f>B5</f>
        <v>8000</v>
      </c>
      <c r="C7" s="16">
        <f t="shared" ref="C7:M7" si="0">B7*(1-C6)+C5</f>
        <v>19760</v>
      </c>
      <c r="D7" s="16">
        <f t="shared" si="0"/>
        <v>34167.199999999997</v>
      </c>
      <c r="E7" s="16">
        <f t="shared" si="0"/>
        <v>48142.183999999994</v>
      </c>
      <c r="F7" s="16">
        <f t="shared" si="0"/>
        <v>64697.918479999993</v>
      </c>
      <c r="G7" s="16">
        <f t="shared" si="0"/>
        <v>80756.980925599986</v>
      </c>
      <c r="H7" s="16">
        <f t="shared" si="0"/>
        <v>98334.271497831985</v>
      </c>
      <c r="I7" s="16">
        <f t="shared" si="0"/>
        <v>115384.24335289703</v>
      </c>
      <c r="J7" s="16">
        <f t="shared" si="0"/>
        <v>133922.71605231013</v>
      </c>
      <c r="K7" s="16">
        <f t="shared" si="0"/>
        <v>151905.03457074083</v>
      </c>
      <c r="L7" s="16">
        <f t="shared" si="0"/>
        <v>171347.88353361859</v>
      </c>
      <c r="M7" s="16">
        <f t="shared" si="0"/>
        <v>190207.44702761003</v>
      </c>
    </row>
    <row r="9" spans="1:13" x14ac:dyDescent="0.25">
      <c r="A9" s="15" t="s">
        <v>98</v>
      </c>
    </row>
    <row r="10" spans="1:13" x14ac:dyDescent="0.25">
      <c r="A10" s="4" t="s">
        <v>99</v>
      </c>
      <c r="B10" s="11">
        <v>150</v>
      </c>
      <c r="C10" s="11">
        <v>220</v>
      </c>
      <c r="D10" s="11">
        <v>260</v>
      </c>
      <c r="E10" s="11">
        <v>260</v>
      </c>
      <c r="F10" s="11">
        <v>300</v>
      </c>
      <c r="G10" s="11">
        <v>300</v>
      </c>
      <c r="H10" s="11">
        <v>320</v>
      </c>
      <c r="I10" s="11">
        <v>320</v>
      </c>
      <c r="J10" s="11">
        <v>340</v>
      </c>
      <c r="K10" s="11">
        <v>340</v>
      </c>
      <c r="L10" s="11">
        <v>360</v>
      </c>
      <c r="M10" s="11">
        <v>360</v>
      </c>
    </row>
    <row r="11" spans="1:13" x14ac:dyDescent="0.25">
      <c r="A11" s="4" t="s">
        <v>100</v>
      </c>
      <c r="B11" s="9">
        <v>0.02</v>
      </c>
      <c r="C11" s="9">
        <v>0.02</v>
      </c>
      <c r="D11" s="9">
        <v>0.02</v>
      </c>
      <c r="E11" s="9">
        <v>0.02</v>
      </c>
      <c r="F11" s="9">
        <v>0.02</v>
      </c>
      <c r="G11" s="9">
        <v>0.02</v>
      </c>
      <c r="H11" s="9">
        <v>0.02</v>
      </c>
      <c r="I11" s="9">
        <v>0.02</v>
      </c>
      <c r="J11" s="9">
        <v>0.02</v>
      </c>
      <c r="K11" s="9">
        <v>0.02</v>
      </c>
      <c r="L11" s="9">
        <v>0.02</v>
      </c>
      <c r="M11" s="9">
        <v>0.02</v>
      </c>
    </row>
    <row r="12" spans="1:13" x14ac:dyDescent="0.25">
      <c r="A12" s="4" t="s">
        <v>101</v>
      </c>
      <c r="B12" s="16">
        <f>B10</f>
        <v>150</v>
      </c>
      <c r="C12" s="16">
        <f t="shared" ref="C12:M12" si="1">B12*(1-C11)+C10</f>
        <v>367</v>
      </c>
      <c r="D12" s="16">
        <f t="shared" si="1"/>
        <v>619.66</v>
      </c>
      <c r="E12" s="16">
        <f t="shared" si="1"/>
        <v>867.26679999999999</v>
      </c>
      <c r="F12" s="16">
        <f t="shared" si="1"/>
        <v>1149.921464</v>
      </c>
      <c r="G12" s="16">
        <f t="shared" si="1"/>
        <v>1426.92303472</v>
      </c>
      <c r="H12" s="16">
        <f t="shared" si="1"/>
        <v>1718.3845740255999</v>
      </c>
      <c r="I12" s="16">
        <f t="shared" si="1"/>
        <v>2004.0168825450878</v>
      </c>
      <c r="J12" s="16">
        <f t="shared" si="1"/>
        <v>2303.9365448941862</v>
      </c>
      <c r="K12" s="16">
        <f t="shared" si="1"/>
        <v>2597.8578139963024</v>
      </c>
      <c r="L12" s="16">
        <f t="shared" si="1"/>
        <v>2905.9006577163764</v>
      </c>
      <c r="M12" s="16">
        <f t="shared" si="1"/>
        <v>3207.782644562049</v>
      </c>
    </row>
    <row r="14" spans="1:13" ht="22.35" customHeight="1" x14ac:dyDescent="0.25">
      <c r="A14" s="22" t="s">
        <v>102</v>
      </c>
      <c r="B14" s="22"/>
      <c r="C14" s="22"/>
      <c r="D14" s="22"/>
      <c r="E14" s="22"/>
      <c r="F14" s="22"/>
      <c r="G14" s="22"/>
      <c r="H14" s="22"/>
    </row>
  </sheetData>
  <mergeCells count="2">
    <mergeCell ref="A1:M1"/>
    <mergeCell ref="A14:H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
  <sheetViews>
    <sheetView showGridLines="0" zoomScaleNormal="100" workbookViewId="0">
      <selection activeCell="F26" sqref="F26"/>
    </sheetView>
  </sheetViews>
  <sheetFormatPr defaultColWidth="8.7109375" defaultRowHeight="15" x14ac:dyDescent="0.25"/>
  <cols>
    <col min="1" max="1" width="34" customWidth="1"/>
    <col min="2" max="13" width="11" customWidth="1"/>
  </cols>
  <sheetData>
    <row r="1" spans="1:13" ht="24" customHeight="1" x14ac:dyDescent="0.25">
      <c r="A1" s="1" t="s">
        <v>103</v>
      </c>
      <c r="B1" s="1"/>
      <c r="C1" s="1"/>
      <c r="D1" s="1"/>
      <c r="E1" s="1"/>
      <c r="F1" s="1"/>
      <c r="G1" s="1"/>
      <c r="H1" s="1"/>
      <c r="I1" s="1"/>
      <c r="J1" s="1"/>
      <c r="K1" s="1"/>
      <c r="L1" s="1"/>
      <c r="M1" s="1"/>
    </row>
    <row r="3" spans="1:13" x14ac:dyDescent="0.25">
      <c r="A3" s="14" t="s">
        <v>81</v>
      </c>
      <c r="B3" s="14" t="s">
        <v>82</v>
      </c>
      <c r="C3" s="14" t="s">
        <v>83</v>
      </c>
      <c r="D3" s="14" t="s">
        <v>84</v>
      </c>
      <c r="E3" s="14" t="s">
        <v>85</v>
      </c>
      <c r="F3" s="14" t="s">
        <v>86</v>
      </c>
      <c r="G3" s="14" t="s">
        <v>87</v>
      </c>
      <c r="H3" s="14" t="s">
        <v>88</v>
      </c>
      <c r="I3" s="14" t="s">
        <v>89</v>
      </c>
      <c r="J3" s="14" t="s">
        <v>90</v>
      </c>
      <c r="K3" s="14" t="s">
        <v>91</v>
      </c>
      <c r="L3" s="14" t="s">
        <v>92</v>
      </c>
      <c r="M3" s="14" t="s">
        <v>93</v>
      </c>
    </row>
    <row r="4" spans="1:13" x14ac:dyDescent="0.25">
      <c r="A4" s="4" t="s">
        <v>104</v>
      </c>
      <c r="B4" s="11">
        <v>6</v>
      </c>
      <c r="C4" s="11">
        <v>6</v>
      </c>
      <c r="D4" s="11">
        <v>6</v>
      </c>
      <c r="E4" s="11">
        <v>6</v>
      </c>
      <c r="F4" s="11">
        <v>6</v>
      </c>
      <c r="G4" s="11">
        <v>6</v>
      </c>
      <c r="H4" s="11">
        <v>6</v>
      </c>
      <c r="I4" s="11">
        <v>6</v>
      </c>
      <c r="J4" s="11">
        <v>6</v>
      </c>
      <c r="K4" s="11">
        <v>6</v>
      </c>
      <c r="L4" s="11">
        <v>6</v>
      </c>
      <c r="M4" s="11">
        <v>6</v>
      </c>
    </row>
    <row r="5" spans="1:13" x14ac:dyDescent="0.25">
      <c r="A5" s="4" t="s">
        <v>105</v>
      </c>
      <c r="B5" s="11">
        <v>850</v>
      </c>
      <c r="C5" s="11">
        <v>850</v>
      </c>
      <c r="D5" s="11">
        <v>850</v>
      </c>
      <c r="E5" s="11">
        <v>850</v>
      </c>
      <c r="F5" s="11">
        <v>850</v>
      </c>
      <c r="G5" s="11">
        <v>850</v>
      </c>
      <c r="H5" s="11">
        <v>850</v>
      </c>
      <c r="I5" s="11">
        <v>850</v>
      </c>
      <c r="J5" s="11">
        <v>850</v>
      </c>
      <c r="K5" s="11">
        <v>850</v>
      </c>
      <c r="L5" s="11">
        <v>850</v>
      </c>
      <c r="M5" s="11">
        <v>850</v>
      </c>
    </row>
    <row r="6" spans="1:13" x14ac:dyDescent="0.25">
      <c r="A6" s="4" t="s">
        <v>106</v>
      </c>
      <c r="B6" s="17">
        <f>'3. Growth - Cust &amp; Merchants'!B7</f>
        <v>8000</v>
      </c>
      <c r="C6" s="17">
        <f>'3. Growth - Cust &amp; Merchants'!C7</f>
        <v>19760</v>
      </c>
      <c r="D6" s="17">
        <f>'3. Growth - Cust &amp; Merchants'!D7</f>
        <v>34167.199999999997</v>
      </c>
      <c r="E6" s="17">
        <f>'3. Growth - Cust &amp; Merchants'!E7</f>
        <v>48142.183999999994</v>
      </c>
      <c r="F6" s="17">
        <f>'3. Growth - Cust &amp; Merchants'!F7</f>
        <v>64697.918479999993</v>
      </c>
      <c r="G6" s="17">
        <f>'3. Growth - Cust &amp; Merchants'!G7</f>
        <v>80756.980925599986</v>
      </c>
      <c r="H6" s="17">
        <f>'3. Growth - Cust &amp; Merchants'!H7</f>
        <v>98334.271497831985</v>
      </c>
      <c r="I6" s="17">
        <f>'3. Growth - Cust &amp; Merchants'!I7</f>
        <v>115384.24335289703</v>
      </c>
      <c r="J6" s="17">
        <f>'3. Growth - Cust &amp; Merchants'!J7</f>
        <v>133922.71605231013</v>
      </c>
      <c r="K6" s="17">
        <f>'3. Growth - Cust &amp; Merchants'!K7</f>
        <v>151905.03457074083</v>
      </c>
      <c r="L6" s="17">
        <f>'3. Growth - Cust &amp; Merchants'!L7</f>
        <v>171347.88353361859</v>
      </c>
      <c r="M6" s="17">
        <f>'3. Growth - Cust &amp; Merchants'!M7</f>
        <v>190207.44702761003</v>
      </c>
    </row>
    <row r="7" spans="1:13" x14ac:dyDescent="0.25">
      <c r="A7" s="4" t="s">
        <v>107</v>
      </c>
      <c r="B7" s="16">
        <f t="shared" ref="B7:M8" si="0">B6*B4</f>
        <v>48000</v>
      </c>
      <c r="C7" s="16">
        <f t="shared" si="0"/>
        <v>118560</v>
      </c>
      <c r="D7" s="16">
        <f t="shared" si="0"/>
        <v>205003.19999999998</v>
      </c>
      <c r="E7" s="16">
        <f t="shared" si="0"/>
        <v>288853.10399999993</v>
      </c>
      <c r="F7" s="16">
        <f t="shared" si="0"/>
        <v>388187.51087999996</v>
      </c>
      <c r="G7" s="16">
        <f t="shared" si="0"/>
        <v>484541.88555359992</v>
      </c>
      <c r="H7" s="16">
        <f t="shared" si="0"/>
        <v>590005.62898699194</v>
      </c>
      <c r="I7" s="16">
        <f t="shared" si="0"/>
        <v>692305.46011738223</v>
      </c>
      <c r="J7" s="16">
        <f t="shared" si="0"/>
        <v>803536.2963138608</v>
      </c>
      <c r="K7" s="16">
        <f t="shared" si="0"/>
        <v>911430.20742444496</v>
      </c>
      <c r="L7" s="16">
        <f t="shared" si="0"/>
        <v>1028087.3012017115</v>
      </c>
      <c r="M7" s="16">
        <f t="shared" si="0"/>
        <v>1141244.6821656602</v>
      </c>
    </row>
    <row r="8" spans="1:13" x14ac:dyDescent="0.25">
      <c r="A8" s="4" t="s">
        <v>108</v>
      </c>
      <c r="B8" s="16">
        <f t="shared" si="0"/>
        <v>40800000</v>
      </c>
      <c r="C8" s="16">
        <f t="shared" si="0"/>
        <v>100776000</v>
      </c>
      <c r="D8" s="16">
        <f t="shared" si="0"/>
        <v>174252720</v>
      </c>
      <c r="E8" s="16">
        <f t="shared" si="0"/>
        <v>245525138.39999995</v>
      </c>
      <c r="F8" s="16">
        <f t="shared" si="0"/>
        <v>329959384.24799997</v>
      </c>
      <c r="G8" s="16">
        <f t="shared" si="0"/>
        <v>411860602.72055995</v>
      </c>
      <c r="H8" s="16">
        <f t="shared" si="0"/>
        <v>501504784.63894314</v>
      </c>
      <c r="I8" s="16">
        <f t="shared" si="0"/>
        <v>588459641.09977484</v>
      </c>
      <c r="J8" s="16">
        <f t="shared" si="0"/>
        <v>683005851.86678171</v>
      </c>
      <c r="K8" s="16">
        <f t="shared" si="0"/>
        <v>774715676.31077826</v>
      </c>
      <c r="L8" s="16">
        <f t="shared" si="0"/>
        <v>873874206.02145481</v>
      </c>
      <c r="M8" s="16">
        <f t="shared" si="0"/>
        <v>970057979.84081113</v>
      </c>
    </row>
    <row r="10" spans="1:13" x14ac:dyDescent="0.25">
      <c r="A10" s="4" t="s">
        <v>109</v>
      </c>
      <c r="B10" s="17">
        <f>'3. Growth - Cust &amp; Merchants'!B12</f>
        <v>150</v>
      </c>
      <c r="C10" s="17">
        <f>'3. Growth - Cust &amp; Merchants'!C12</f>
        <v>367</v>
      </c>
      <c r="D10" s="17">
        <f>'3. Growth - Cust &amp; Merchants'!D12</f>
        <v>619.66</v>
      </c>
      <c r="E10" s="17">
        <f>'3. Growth - Cust &amp; Merchants'!E12</f>
        <v>867.26679999999999</v>
      </c>
      <c r="F10" s="17">
        <f>'3. Growth - Cust &amp; Merchants'!F12</f>
        <v>1149.921464</v>
      </c>
      <c r="G10" s="17">
        <f>'3. Growth - Cust &amp; Merchants'!G12</f>
        <v>1426.92303472</v>
      </c>
      <c r="H10" s="17">
        <f>'3. Growth - Cust &amp; Merchants'!H12</f>
        <v>1718.3845740255999</v>
      </c>
      <c r="I10" s="17">
        <f>'3. Growth - Cust &amp; Merchants'!I12</f>
        <v>2004.0168825450878</v>
      </c>
      <c r="J10" s="17">
        <f>'3. Growth - Cust &amp; Merchants'!J12</f>
        <v>2303.9365448941862</v>
      </c>
      <c r="K10" s="17">
        <f>'3. Growth - Cust &amp; Merchants'!K12</f>
        <v>2597.8578139963024</v>
      </c>
      <c r="L10" s="17">
        <f>'3. Growth - Cust &amp; Merchants'!L12</f>
        <v>2905.9006577163764</v>
      </c>
      <c r="M10" s="17">
        <f>'3. Growth - Cust &amp; Merchants'!M12</f>
        <v>3207.782644562049</v>
      </c>
    </row>
    <row r="11" spans="1:13" x14ac:dyDescent="0.25">
      <c r="A11" s="4" t="s">
        <v>110</v>
      </c>
      <c r="B11" s="11">
        <v>180000</v>
      </c>
      <c r="C11" s="11">
        <v>180000</v>
      </c>
      <c r="D11" s="11">
        <v>180000</v>
      </c>
      <c r="E11" s="11">
        <v>180000</v>
      </c>
      <c r="F11" s="11">
        <v>180000</v>
      </c>
      <c r="G11" s="11">
        <v>180000</v>
      </c>
      <c r="H11" s="11">
        <v>180000</v>
      </c>
      <c r="I11" s="11">
        <v>180000</v>
      </c>
      <c r="J11" s="11">
        <v>180000</v>
      </c>
      <c r="K11" s="11">
        <v>180000</v>
      </c>
      <c r="L11" s="11">
        <v>180000</v>
      </c>
      <c r="M11" s="11">
        <v>180000</v>
      </c>
    </row>
    <row r="12" spans="1:13" x14ac:dyDescent="0.25">
      <c r="A12" s="4" t="s">
        <v>111</v>
      </c>
      <c r="B12" s="16">
        <f t="shared" ref="B12:M12" si="1">B10*B11</f>
        <v>27000000</v>
      </c>
      <c r="C12" s="16">
        <f t="shared" si="1"/>
        <v>66060000</v>
      </c>
      <c r="D12" s="16">
        <f t="shared" si="1"/>
        <v>111538800</v>
      </c>
      <c r="E12" s="16">
        <f t="shared" si="1"/>
        <v>156108024</v>
      </c>
      <c r="F12" s="16">
        <f t="shared" si="1"/>
        <v>206985863.52000001</v>
      </c>
      <c r="G12" s="16">
        <f t="shared" si="1"/>
        <v>256846146.24959999</v>
      </c>
      <c r="H12" s="16">
        <f t="shared" si="1"/>
        <v>309309223.32460797</v>
      </c>
      <c r="I12" s="16">
        <f t="shared" si="1"/>
        <v>360723038.85811579</v>
      </c>
      <c r="J12" s="16">
        <f t="shared" si="1"/>
        <v>414708578.08095354</v>
      </c>
      <c r="K12" s="16">
        <f t="shared" si="1"/>
        <v>467614406.51933444</v>
      </c>
      <c r="L12" s="16">
        <f t="shared" si="1"/>
        <v>523062118.38894773</v>
      </c>
      <c r="M12" s="16">
        <f t="shared" si="1"/>
        <v>577400876.02116883</v>
      </c>
    </row>
    <row r="14" spans="1:13" ht="15" customHeight="1" x14ac:dyDescent="0.25">
      <c r="A14" s="22" t="s">
        <v>112</v>
      </c>
      <c r="B14" s="22"/>
      <c r="C14" s="22"/>
      <c r="D14" s="22"/>
      <c r="E14" s="22"/>
      <c r="F14" s="22"/>
      <c r="G14" s="22"/>
      <c r="H14" s="22"/>
    </row>
  </sheetData>
  <mergeCells count="2">
    <mergeCell ref="A1:M1"/>
    <mergeCell ref="A14:H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zoomScaleNormal="100" workbookViewId="0">
      <selection activeCell="A10" sqref="A10:H10"/>
    </sheetView>
  </sheetViews>
  <sheetFormatPr defaultColWidth="8.7109375" defaultRowHeight="15" x14ac:dyDescent="0.25"/>
  <cols>
    <col min="1" max="1" width="34" customWidth="1"/>
    <col min="2" max="13" width="11" customWidth="1"/>
  </cols>
  <sheetData>
    <row r="1" spans="1:13" ht="24" customHeight="1" x14ac:dyDescent="0.25">
      <c r="A1" s="1" t="s">
        <v>113</v>
      </c>
      <c r="B1" s="1"/>
      <c r="C1" s="1"/>
      <c r="D1" s="1"/>
      <c r="E1" s="1"/>
      <c r="F1" s="1"/>
      <c r="G1" s="1"/>
      <c r="H1" s="1"/>
      <c r="I1" s="1"/>
      <c r="J1" s="1"/>
      <c r="K1" s="1"/>
      <c r="L1" s="1"/>
      <c r="M1" s="1"/>
    </row>
    <row r="3" spans="1:13" x14ac:dyDescent="0.25">
      <c r="A3" s="14" t="s">
        <v>81</v>
      </c>
      <c r="B3" s="14" t="s">
        <v>82</v>
      </c>
      <c r="C3" s="14" t="s">
        <v>83</v>
      </c>
      <c r="D3" s="14" t="s">
        <v>84</v>
      </c>
      <c r="E3" s="14" t="s">
        <v>85</v>
      </c>
      <c r="F3" s="14" t="s">
        <v>86</v>
      </c>
      <c r="G3" s="14" t="s">
        <v>87</v>
      </c>
      <c r="H3" s="14" t="s">
        <v>88</v>
      </c>
      <c r="I3" s="14" t="s">
        <v>89</v>
      </c>
      <c r="J3" s="14" t="s">
        <v>90</v>
      </c>
      <c r="K3" s="14" t="s">
        <v>91</v>
      </c>
      <c r="L3" s="14" t="s">
        <v>92</v>
      </c>
      <c r="M3" s="14" t="s">
        <v>93</v>
      </c>
    </row>
    <row r="4" spans="1:13" x14ac:dyDescent="0.25">
      <c r="A4" s="4" t="s">
        <v>114</v>
      </c>
      <c r="B4" s="16">
        <f>('4. Transaction Volume Build'!B8+'4. Transaction Volume Build'!B12)*'1. Assumptions - Revenue'!$C$4</f>
        <v>678000</v>
      </c>
      <c r="C4" s="16">
        <f>('4. Transaction Volume Build'!C8+'4. Transaction Volume Build'!C12)*'1. Assumptions - Revenue'!$C$4</f>
        <v>1668360</v>
      </c>
      <c r="D4" s="16">
        <f>('4. Transaction Volume Build'!D8+'4. Transaction Volume Build'!D12)*'1. Assumptions - Revenue'!$C$4</f>
        <v>2857915.2</v>
      </c>
      <c r="E4" s="16">
        <f>('4. Transaction Volume Build'!E8+'4. Transaction Volume Build'!E12)*'1. Assumptions - Revenue'!$C$4</f>
        <v>4016331.6239999998</v>
      </c>
      <c r="F4" s="16">
        <f>('4. Transaction Volume Build'!F8+'4. Transaction Volume Build'!F12)*'1. Assumptions - Revenue'!$C$4</f>
        <v>5369452.4776800005</v>
      </c>
      <c r="G4" s="16">
        <f>('4. Transaction Volume Build'!G8+'4. Transaction Volume Build'!G12)*'1. Assumptions - Revenue'!$C$4</f>
        <v>6687067.4897015998</v>
      </c>
      <c r="H4" s="16">
        <f>('4. Transaction Volume Build'!H8+'4. Transaction Volume Build'!H12)*'1. Assumptions - Revenue'!$C$4</f>
        <v>8108140.0796355102</v>
      </c>
      <c r="I4" s="16">
        <f>('4. Transaction Volume Build'!I8+'4. Transaction Volume Build'!I12)*'1. Assumptions - Revenue'!$C$4</f>
        <v>9491826.799578907</v>
      </c>
      <c r="J4" s="16">
        <f>('4. Transaction Volume Build'!J8+'4. Transaction Volume Build'!J12)*'1. Assumptions - Revenue'!$C$4</f>
        <v>10977144.299477354</v>
      </c>
      <c r="K4" s="16">
        <f>('4. Transaction Volume Build'!K8+'4. Transaction Volume Build'!K12)*'1. Assumptions - Revenue'!$C$4</f>
        <v>12423300.828301128</v>
      </c>
      <c r="L4" s="16">
        <f>('4. Transaction Volume Build'!L8+'4. Transaction Volume Build'!L12)*'1. Assumptions - Revenue'!$C$4</f>
        <v>13969363.244104026</v>
      </c>
      <c r="M4" s="16">
        <f>('4. Transaction Volume Build'!M8+'4. Transaction Volume Build'!M12)*'1. Assumptions - Revenue'!$C$4</f>
        <v>15474588.558619799</v>
      </c>
    </row>
    <row r="5" spans="1:13" x14ac:dyDescent="0.25">
      <c r="A5" s="4" t="s">
        <v>115</v>
      </c>
      <c r="B5" s="16">
        <f>'4. Transaction Volume Build'!B12*0.3*'1. Assumptions - Revenue'!$C$5</f>
        <v>40500</v>
      </c>
      <c r="C5" s="16">
        <f>'4. Transaction Volume Build'!C12*0.3*'1. Assumptions - Revenue'!$C$5</f>
        <v>99090</v>
      </c>
      <c r="D5" s="16">
        <f>'4. Transaction Volume Build'!D12*0.3*'1. Assumptions - Revenue'!$C$5</f>
        <v>167308.20000000001</v>
      </c>
      <c r="E5" s="16">
        <f>'4. Transaction Volume Build'!E12*0.3*'1. Assumptions - Revenue'!$C$5</f>
        <v>234162.03599999999</v>
      </c>
      <c r="F5" s="16">
        <f>'4. Transaction Volume Build'!F12*0.3*'1. Assumptions - Revenue'!$C$5</f>
        <v>310478.79528000002</v>
      </c>
      <c r="G5" s="16">
        <f>'4. Transaction Volume Build'!G12*0.3*'1. Assumptions - Revenue'!$C$5</f>
        <v>385269.21937440004</v>
      </c>
      <c r="H5" s="16">
        <f>'4. Transaction Volume Build'!H12*0.3*'1. Assumptions - Revenue'!$C$5</f>
        <v>463963.83498691197</v>
      </c>
      <c r="I5" s="16">
        <f>'4. Transaction Volume Build'!I12*0.3*'1. Assumptions - Revenue'!$C$5</f>
        <v>541084.55828717363</v>
      </c>
      <c r="J5" s="16">
        <f>'4. Transaction Volume Build'!J12*0.3*'1. Assumptions - Revenue'!$C$5</f>
        <v>622062.86712143023</v>
      </c>
      <c r="K5" s="16">
        <f>'4. Transaction Volume Build'!K12*0.3*'1. Assumptions - Revenue'!$C$5</f>
        <v>701421.60977900168</v>
      </c>
      <c r="L5" s="16">
        <f>'4. Transaction Volume Build'!L12*0.3*'1. Assumptions - Revenue'!$C$5</f>
        <v>784593.17758342158</v>
      </c>
      <c r="M5" s="16">
        <f>'4. Transaction Volume Build'!M12*0.3*'1. Assumptions - Revenue'!$C$5</f>
        <v>866101.31403175322</v>
      </c>
    </row>
    <row r="6" spans="1:13" x14ac:dyDescent="0.25">
      <c r="A6" s="4" t="s">
        <v>116</v>
      </c>
      <c r="B6" s="16">
        <f>'4. Transaction Volume Build'!B8*0.05*'1. Assumptions - Revenue'!$C$6</f>
        <v>30600</v>
      </c>
      <c r="C6" s="16">
        <f>'4. Transaction Volume Build'!C8*0.05*'1. Assumptions - Revenue'!$C$6</f>
        <v>75582</v>
      </c>
      <c r="D6" s="16">
        <f>'4. Transaction Volume Build'!D8*0.05*'1. Assumptions - Revenue'!$C$6</f>
        <v>130689.54</v>
      </c>
      <c r="E6" s="16">
        <f>'4. Transaction Volume Build'!E8*0.05*'1. Assumptions - Revenue'!$C$6</f>
        <v>184143.85379999995</v>
      </c>
      <c r="F6" s="16">
        <f>'4. Transaction Volume Build'!F8*0.05*'1. Assumptions - Revenue'!$C$6</f>
        <v>247469.53818599996</v>
      </c>
      <c r="G6" s="16">
        <f>'4. Transaction Volume Build'!G8*0.05*'1. Assumptions - Revenue'!$C$6</f>
        <v>308895.45204041997</v>
      </c>
      <c r="H6" s="16">
        <f>'4. Transaction Volume Build'!H8*0.05*'1. Assumptions - Revenue'!$C$6</f>
        <v>376128.58847920736</v>
      </c>
      <c r="I6" s="16">
        <f>'4. Transaction Volume Build'!I8*0.05*'1. Assumptions - Revenue'!$C$6</f>
        <v>441344.73082483112</v>
      </c>
      <c r="J6" s="16">
        <f>'4. Transaction Volume Build'!J8*0.05*'1. Assumptions - Revenue'!$C$6</f>
        <v>512254.38890008628</v>
      </c>
      <c r="K6" s="16">
        <f>'4. Transaction Volume Build'!K8*0.05*'1. Assumptions - Revenue'!$C$6</f>
        <v>581036.75723308371</v>
      </c>
      <c r="L6" s="16">
        <f>'4. Transaction Volume Build'!L8*0.05*'1. Assumptions - Revenue'!$C$6</f>
        <v>655405.65451609122</v>
      </c>
      <c r="M6" s="16">
        <f>'4. Transaction Volume Build'!M8*0.05*'1. Assumptions - Revenue'!$C$6</f>
        <v>727543.48488060839</v>
      </c>
    </row>
    <row r="7" spans="1:13" x14ac:dyDescent="0.25">
      <c r="A7" s="4" t="s">
        <v>117</v>
      </c>
      <c r="B7" s="16">
        <f>'4. Transaction Volume Build'!B12*0.1*'1. Assumptions - Revenue'!$C$7</f>
        <v>18900</v>
      </c>
      <c r="C7" s="16">
        <f>'4. Transaction Volume Build'!C12*0.1*'1. Assumptions - Revenue'!$C$7</f>
        <v>46242</v>
      </c>
      <c r="D7" s="16">
        <f>'4. Transaction Volume Build'!D12*0.1*'1. Assumptions - Revenue'!$C$7</f>
        <v>78077.16</v>
      </c>
      <c r="E7" s="16">
        <f>'4. Transaction Volume Build'!E12*0.1*'1. Assumptions - Revenue'!$C$7</f>
        <v>109275.6168</v>
      </c>
      <c r="F7" s="16">
        <f>'4. Transaction Volume Build'!F12*0.1*'1. Assumptions - Revenue'!$C$7</f>
        <v>144890.104464</v>
      </c>
      <c r="G7" s="16">
        <f>'4. Transaction Volume Build'!G12*0.1*'1. Assumptions - Revenue'!$C$7</f>
        <v>179792.30237472002</v>
      </c>
      <c r="H7" s="16">
        <f>'4. Transaction Volume Build'!H12*0.1*'1. Assumptions - Revenue'!$C$7</f>
        <v>216516.45632722561</v>
      </c>
      <c r="I7" s="16">
        <f>'4. Transaction Volume Build'!I12*0.1*'1. Assumptions - Revenue'!$C$7</f>
        <v>252506.12720068108</v>
      </c>
      <c r="J7" s="16">
        <f>'4. Transaction Volume Build'!J12*0.1*'1. Assumptions - Revenue'!$C$7</f>
        <v>290296.00465666753</v>
      </c>
      <c r="K7" s="16">
        <f>'4. Transaction Volume Build'!K12*0.1*'1. Assumptions - Revenue'!$C$7</f>
        <v>327330.08456353412</v>
      </c>
      <c r="L7" s="16">
        <f>'4. Transaction Volume Build'!L12*0.1*'1. Assumptions - Revenue'!$C$7</f>
        <v>366143.48287226347</v>
      </c>
      <c r="M7" s="16">
        <f>'4. Transaction Volume Build'!M12*0.1*'1. Assumptions - Revenue'!$C$7</f>
        <v>404180.61321481818</v>
      </c>
    </row>
    <row r="8" spans="1:13" x14ac:dyDescent="0.25">
      <c r="A8" s="18" t="s">
        <v>118</v>
      </c>
      <c r="B8" s="19">
        <f t="shared" ref="B8:M8" si="0">SUM(B4:B7)</f>
        <v>768000</v>
      </c>
      <c r="C8" s="19">
        <f t="shared" si="0"/>
        <v>1889274</v>
      </c>
      <c r="D8" s="19">
        <f t="shared" si="0"/>
        <v>3233990.1000000006</v>
      </c>
      <c r="E8" s="19">
        <f t="shared" si="0"/>
        <v>4543913.1305999998</v>
      </c>
      <c r="F8" s="19">
        <f t="shared" si="0"/>
        <v>6072290.9156100005</v>
      </c>
      <c r="G8" s="19">
        <f t="shared" si="0"/>
        <v>7561024.463491139</v>
      </c>
      <c r="H8" s="19">
        <f t="shared" si="0"/>
        <v>9164748.9594288561</v>
      </c>
      <c r="I8" s="19">
        <f t="shared" si="0"/>
        <v>10726762.215891594</v>
      </c>
      <c r="J8" s="19">
        <f t="shared" si="0"/>
        <v>12401757.560155537</v>
      </c>
      <c r="K8" s="19">
        <f t="shared" si="0"/>
        <v>14033089.279876748</v>
      </c>
      <c r="L8" s="19">
        <f t="shared" si="0"/>
        <v>15775505.559075801</v>
      </c>
      <c r="M8" s="19">
        <f t="shared" si="0"/>
        <v>17472413.970746979</v>
      </c>
    </row>
    <row r="10" spans="1:13" ht="22.35" customHeight="1" x14ac:dyDescent="0.25">
      <c r="A10" s="22" t="s">
        <v>119</v>
      </c>
      <c r="B10" s="22"/>
      <c r="C10" s="22"/>
      <c r="D10" s="22"/>
      <c r="E10" s="22"/>
      <c r="F10" s="22"/>
      <c r="G10" s="22"/>
      <c r="H10" s="22"/>
    </row>
  </sheetData>
  <mergeCells count="2">
    <mergeCell ref="A1:M1"/>
    <mergeCell ref="A10:H1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
  <sheetViews>
    <sheetView showGridLines="0" zoomScaleNormal="100" workbookViewId="0">
      <selection activeCell="B37" sqref="B37"/>
    </sheetView>
  </sheetViews>
  <sheetFormatPr defaultColWidth="8.7109375" defaultRowHeight="15" x14ac:dyDescent="0.25"/>
  <cols>
    <col min="1" max="1" width="34" customWidth="1"/>
    <col min="2" max="13" width="11" customWidth="1"/>
  </cols>
  <sheetData>
    <row r="1" spans="1:13" ht="24" customHeight="1" x14ac:dyDescent="0.25">
      <c r="A1" s="1" t="s">
        <v>120</v>
      </c>
      <c r="B1" s="1"/>
      <c r="C1" s="1"/>
      <c r="D1" s="1"/>
      <c r="E1" s="1"/>
      <c r="F1" s="1"/>
      <c r="G1" s="1"/>
      <c r="H1" s="1"/>
      <c r="I1" s="1"/>
      <c r="J1" s="1"/>
      <c r="K1" s="1"/>
      <c r="L1" s="1"/>
      <c r="M1" s="1"/>
    </row>
    <row r="3" spans="1:13" x14ac:dyDescent="0.25">
      <c r="A3" s="14" t="s">
        <v>81</v>
      </c>
      <c r="B3" s="14" t="s">
        <v>82</v>
      </c>
      <c r="C3" s="14" t="s">
        <v>83</v>
      </c>
      <c r="D3" s="14" t="s">
        <v>84</v>
      </c>
      <c r="E3" s="14" t="s">
        <v>85</v>
      </c>
      <c r="F3" s="14" t="s">
        <v>86</v>
      </c>
      <c r="G3" s="14" t="s">
        <v>87</v>
      </c>
      <c r="H3" s="14" t="s">
        <v>88</v>
      </c>
      <c r="I3" s="14" t="s">
        <v>89</v>
      </c>
      <c r="J3" s="14" t="s">
        <v>90</v>
      </c>
      <c r="K3" s="14" t="s">
        <v>91</v>
      </c>
      <c r="L3" s="14" t="s">
        <v>92</v>
      </c>
      <c r="M3" s="14" t="s">
        <v>93</v>
      </c>
    </row>
    <row r="4" spans="1:13" x14ac:dyDescent="0.25">
      <c r="A4" s="4" t="s">
        <v>121</v>
      </c>
      <c r="B4" s="16">
        <f>'3. Growth - Cust &amp; Merchants'!B10*'2. Assumptions - Cost'!$C$4</f>
        <v>105000</v>
      </c>
      <c r="C4" s="16">
        <f>'3. Growth - Cust &amp; Merchants'!C10*'2. Assumptions - Cost'!$C$4</f>
        <v>154000</v>
      </c>
      <c r="D4" s="16">
        <f>'3. Growth - Cust &amp; Merchants'!D10*'2. Assumptions - Cost'!$C$4</f>
        <v>182000</v>
      </c>
      <c r="E4" s="16">
        <f>'3. Growth - Cust &amp; Merchants'!E10*'2. Assumptions - Cost'!$C$4</f>
        <v>182000</v>
      </c>
      <c r="F4" s="16">
        <f>'3. Growth - Cust &amp; Merchants'!F10*'2. Assumptions - Cost'!$C$4</f>
        <v>210000</v>
      </c>
      <c r="G4" s="16">
        <f>'3. Growth - Cust &amp; Merchants'!G10*'2. Assumptions - Cost'!$C$4</f>
        <v>210000</v>
      </c>
      <c r="H4" s="16">
        <f>'3. Growth - Cust &amp; Merchants'!H10*'2. Assumptions - Cost'!$C$4</f>
        <v>224000</v>
      </c>
      <c r="I4" s="16">
        <f>'3. Growth - Cust &amp; Merchants'!I10*'2. Assumptions - Cost'!$C$4</f>
        <v>224000</v>
      </c>
      <c r="J4" s="16">
        <f>'3. Growth - Cust &amp; Merchants'!J10*'2. Assumptions - Cost'!$C$4</f>
        <v>238000</v>
      </c>
      <c r="K4" s="16">
        <f>'3. Growth - Cust &amp; Merchants'!K10*'2. Assumptions - Cost'!$C$4</f>
        <v>238000</v>
      </c>
      <c r="L4" s="16">
        <f>'3. Growth - Cust &amp; Merchants'!L10*'2. Assumptions - Cost'!$C$4</f>
        <v>252000</v>
      </c>
      <c r="M4" s="16">
        <f>'3. Growth - Cust &amp; Merchants'!M10*'2. Assumptions - Cost'!$C$4</f>
        <v>252000</v>
      </c>
    </row>
    <row r="5" spans="1:13" x14ac:dyDescent="0.25">
      <c r="A5" s="4" t="s">
        <v>122</v>
      </c>
      <c r="B5" s="16">
        <f>'3. Growth - Cust &amp; Merchants'!B5*'2. Assumptions - Cost'!$C$5</f>
        <v>240000</v>
      </c>
      <c r="C5" s="16">
        <f>'3. Growth - Cust &amp; Merchants'!C5*'2. Assumptions - Cost'!$C$5</f>
        <v>360000</v>
      </c>
      <c r="D5" s="16">
        <f>'3. Growth - Cust &amp; Merchants'!D5*'2. Assumptions - Cost'!$C$5</f>
        <v>450000</v>
      </c>
      <c r="E5" s="16">
        <f>'3. Growth - Cust &amp; Merchants'!E5*'2. Assumptions - Cost'!$C$5</f>
        <v>450000</v>
      </c>
      <c r="F5" s="16">
        <f>'3. Growth - Cust &amp; Merchants'!F5*'2. Assumptions - Cost'!$C$5</f>
        <v>540000</v>
      </c>
      <c r="G5" s="16">
        <f>'3. Growth - Cust &amp; Merchants'!G5*'2. Assumptions - Cost'!$C$5</f>
        <v>540000</v>
      </c>
      <c r="H5" s="16">
        <f>'3. Growth - Cust &amp; Merchants'!H5*'2. Assumptions - Cost'!$C$5</f>
        <v>600000</v>
      </c>
      <c r="I5" s="16">
        <f>'3. Growth - Cust &amp; Merchants'!I5*'2. Assumptions - Cost'!$C$5</f>
        <v>600000</v>
      </c>
      <c r="J5" s="16">
        <f>'3. Growth - Cust &amp; Merchants'!J5*'2. Assumptions - Cost'!$C$5</f>
        <v>660000</v>
      </c>
      <c r="K5" s="16">
        <f>'3. Growth - Cust &amp; Merchants'!K5*'2. Assumptions - Cost'!$C$5</f>
        <v>660000</v>
      </c>
      <c r="L5" s="16">
        <f>'3. Growth - Cust &amp; Merchants'!L5*'2. Assumptions - Cost'!$C$5</f>
        <v>720000</v>
      </c>
      <c r="M5" s="16">
        <f>'3. Growth - Cust &amp; Merchants'!M5*'2. Assumptions - Cost'!$C$5</f>
        <v>720000</v>
      </c>
    </row>
    <row r="6" spans="1:13" x14ac:dyDescent="0.25">
      <c r="A6" s="4" t="s">
        <v>123</v>
      </c>
      <c r="B6" s="11">
        <v>5000000</v>
      </c>
      <c r="C6" s="11">
        <v>5000000</v>
      </c>
      <c r="D6" s="11">
        <v>5000000</v>
      </c>
      <c r="E6" s="11">
        <v>5000000</v>
      </c>
      <c r="F6" s="11">
        <v>5000000</v>
      </c>
      <c r="G6" s="11">
        <v>5000000</v>
      </c>
      <c r="H6" s="11">
        <v>5000000</v>
      </c>
      <c r="I6" s="11">
        <v>5000000</v>
      </c>
      <c r="J6" s="11">
        <v>5000000</v>
      </c>
      <c r="K6" s="11">
        <v>5000000</v>
      </c>
      <c r="L6" s="11">
        <v>5000000</v>
      </c>
      <c r="M6" s="11">
        <v>5000000</v>
      </c>
    </row>
    <row r="7" spans="1:13" x14ac:dyDescent="0.25">
      <c r="A7" s="4" t="s">
        <v>124</v>
      </c>
      <c r="B7" s="11">
        <v>2000000</v>
      </c>
      <c r="C7" s="11">
        <v>2000000</v>
      </c>
      <c r="D7" s="11">
        <v>2000000</v>
      </c>
      <c r="E7" s="11">
        <v>2000000</v>
      </c>
      <c r="F7" s="11">
        <v>2000000</v>
      </c>
      <c r="G7" s="11">
        <v>2000000</v>
      </c>
      <c r="H7" s="11">
        <v>2000000</v>
      </c>
      <c r="I7" s="11">
        <v>2000000</v>
      </c>
      <c r="J7" s="11">
        <v>2000000</v>
      </c>
      <c r="K7" s="11">
        <v>2000000</v>
      </c>
      <c r="L7" s="11">
        <v>2000000</v>
      </c>
      <c r="M7" s="11">
        <v>2000000</v>
      </c>
    </row>
    <row r="8" spans="1:13" x14ac:dyDescent="0.25">
      <c r="A8" s="4" t="s">
        <v>125</v>
      </c>
      <c r="B8" s="16">
        <f>('4. Transaction Volume Build'!B8+'4. Transaction Volume Build'!B12)*'2. Assumptions - Cost'!$C$8</f>
        <v>101700</v>
      </c>
      <c r="C8" s="16">
        <f>('4. Transaction Volume Build'!C8+'4. Transaction Volume Build'!C12)*'2. Assumptions - Cost'!$C$8</f>
        <v>250254</v>
      </c>
      <c r="D8" s="16">
        <f>('4. Transaction Volume Build'!D8+'4. Transaction Volume Build'!D12)*'2. Assumptions - Cost'!$C$8</f>
        <v>428687.28</v>
      </c>
      <c r="E8" s="16">
        <f>('4. Transaction Volume Build'!E8+'4. Transaction Volume Build'!E12)*'2. Assumptions - Cost'!$C$8</f>
        <v>602449.74359999993</v>
      </c>
      <c r="F8" s="16">
        <f>('4. Transaction Volume Build'!F8+'4. Transaction Volume Build'!F12)*'2. Assumptions - Cost'!$C$8</f>
        <v>805417.871652</v>
      </c>
      <c r="G8" s="16">
        <f>('4. Transaction Volume Build'!G8+'4. Transaction Volume Build'!G12)*'2. Assumptions - Cost'!$C$8</f>
        <v>1003060.12345524</v>
      </c>
      <c r="H8" s="16">
        <f>('4. Transaction Volume Build'!H8+'4. Transaction Volume Build'!H12)*'2. Assumptions - Cost'!$C$8</f>
        <v>1216221.0119453266</v>
      </c>
      <c r="I8" s="16">
        <f>('4. Transaction Volume Build'!I8+'4. Transaction Volume Build'!I12)*'2. Assumptions - Cost'!$C$8</f>
        <v>1423774.0199368359</v>
      </c>
      <c r="J8" s="16">
        <f>('4. Transaction Volume Build'!J8+'4. Transaction Volume Build'!J12)*'2. Assumptions - Cost'!$C$8</f>
        <v>1646571.6449216029</v>
      </c>
      <c r="K8" s="16">
        <f>('4. Transaction Volume Build'!K8+'4. Transaction Volume Build'!K12)*'2. Assumptions - Cost'!$C$8</f>
        <v>1863495.1242451691</v>
      </c>
      <c r="L8" s="16">
        <f>('4. Transaction Volume Build'!L8+'4. Transaction Volume Build'!L12)*'2. Assumptions - Cost'!$C$8</f>
        <v>2095404.4866156038</v>
      </c>
      <c r="M8" s="16">
        <f>('4. Transaction Volume Build'!M8+'4. Transaction Volume Build'!M12)*'2. Assumptions - Cost'!$C$8</f>
        <v>2321188.2837929698</v>
      </c>
    </row>
    <row r="9" spans="1:13" x14ac:dyDescent="0.25">
      <c r="A9" s="4" t="s">
        <v>126</v>
      </c>
      <c r="B9" s="11">
        <v>8000000</v>
      </c>
      <c r="C9" s="11">
        <v>8000000</v>
      </c>
      <c r="D9" s="11">
        <v>8000000</v>
      </c>
      <c r="E9" s="11">
        <v>8000000</v>
      </c>
      <c r="F9" s="11">
        <v>8000000</v>
      </c>
      <c r="G9" s="11">
        <v>8000000</v>
      </c>
      <c r="H9" s="11">
        <v>8000000</v>
      </c>
      <c r="I9" s="11">
        <v>8000000</v>
      </c>
      <c r="J9" s="11">
        <v>8000000</v>
      </c>
      <c r="K9" s="11">
        <v>8000000</v>
      </c>
      <c r="L9" s="11">
        <v>8000000</v>
      </c>
      <c r="M9" s="11">
        <v>8000000</v>
      </c>
    </row>
    <row r="10" spans="1:13" x14ac:dyDescent="0.25">
      <c r="A10" s="18" t="s">
        <v>127</v>
      </c>
      <c r="B10" s="19">
        <f t="shared" ref="B10:M10" si="0">SUM(B4:B9)</f>
        <v>15446700</v>
      </c>
      <c r="C10" s="19">
        <f t="shared" si="0"/>
        <v>15764254</v>
      </c>
      <c r="D10" s="19">
        <f t="shared" si="0"/>
        <v>16060687.280000001</v>
      </c>
      <c r="E10" s="19">
        <f t="shared" si="0"/>
        <v>16234449.7436</v>
      </c>
      <c r="F10" s="19">
        <f t="shared" si="0"/>
        <v>16555417.871652</v>
      </c>
      <c r="G10" s="19">
        <f t="shared" si="0"/>
        <v>16753060.123455239</v>
      </c>
      <c r="H10" s="19">
        <f t="shared" si="0"/>
        <v>17040221.011945326</v>
      </c>
      <c r="I10" s="19">
        <f t="shared" si="0"/>
        <v>17247774.019936837</v>
      </c>
      <c r="J10" s="19">
        <f t="shared" si="0"/>
        <v>17544571.644921601</v>
      </c>
      <c r="K10" s="19">
        <f t="shared" si="0"/>
        <v>17761495.124245167</v>
      </c>
      <c r="L10" s="19">
        <f t="shared" si="0"/>
        <v>18067404.486615606</v>
      </c>
      <c r="M10" s="19">
        <f t="shared" si="0"/>
        <v>18293188.283792969</v>
      </c>
    </row>
    <row r="12" spans="1:13" ht="22.35" customHeight="1" x14ac:dyDescent="0.25">
      <c r="A12" s="22" t="s">
        <v>128</v>
      </c>
      <c r="B12" s="22"/>
      <c r="C12" s="22"/>
      <c r="D12" s="22"/>
      <c r="E12" s="22"/>
      <c r="F12" s="22"/>
      <c r="G12" s="22"/>
      <c r="H12" s="22"/>
    </row>
  </sheetData>
  <mergeCells count="2">
    <mergeCell ref="A1:M1"/>
    <mergeCell ref="A12:H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showGridLines="0" zoomScaleNormal="100" workbookViewId="0">
      <selection activeCell="C11" sqref="C11"/>
    </sheetView>
  </sheetViews>
  <sheetFormatPr defaultColWidth="8.7109375" defaultRowHeight="15" x14ac:dyDescent="0.25"/>
  <cols>
    <col min="1" max="1" width="30" customWidth="1"/>
    <col min="2" max="5" width="16" customWidth="1"/>
  </cols>
  <sheetData>
    <row r="1" spans="1:5" ht="24" customHeight="1" x14ac:dyDescent="0.25">
      <c r="A1" s="1" t="s">
        <v>129</v>
      </c>
      <c r="B1" s="1"/>
      <c r="C1" s="1"/>
      <c r="D1" s="1"/>
      <c r="E1" s="1"/>
    </row>
    <row r="3" spans="1:5" x14ac:dyDescent="0.25">
      <c r="A3" s="14"/>
      <c r="B3" s="14" t="s">
        <v>130</v>
      </c>
      <c r="C3" s="14" t="s">
        <v>131</v>
      </c>
      <c r="D3" s="14" t="s">
        <v>132</v>
      </c>
    </row>
    <row r="4" spans="1:5" x14ac:dyDescent="0.25">
      <c r="A4" s="18" t="s">
        <v>118</v>
      </c>
      <c r="B4" s="16">
        <f>SUM('5. Revenue Build'!B8:E8)</f>
        <v>10435177.230599999</v>
      </c>
      <c r="C4" s="16">
        <f>SUM('5. Revenue Build'!F8:I8)</f>
        <v>33524826.554421589</v>
      </c>
      <c r="D4" s="16">
        <f>SUM('5. Revenue Build'!J8:M8)</f>
        <v>59682766.369855069</v>
      </c>
    </row>
    <row r="5" spans="1:5" x14ac:dyDescent="0.25">
      <c r="A5" s="18" t="s">
        <v>127</v>
      </c>
      <c r="B5" s="16">
        <f>SUM('6. Cost Build'!B10:E10)</f>
        <v>63506091.023599997</v>
      </c>
      <c r="C5" s="16">
        <f>SUM('6. Cost Build'!F10:I10)</f>
        <v>67596473.0269894</v>
      </c>
      <c r="D5" s="16">
        <f>SUM('6. Cost Build'!J10:M10)</f>
        <v>71666659.539575338</v>
      </c>
    </row>
    <row r="6" spans="1:5" x14ac:dyDescent="0.25">
      <c r="A6" s="18" t="s">
        <v>133</v>
      </c>
      <c r="B6" s="19">
        <f>B4-B5</f>
        <v>-53070913.792999998</v>
      </c>
      <c r="C6" s="19">
        <f>C4-C5</f>
        <v>-34071646.472567812</v>
      </c>
      <c r="D6" s="19">
        <f>D4-D5</f>
        <v>-11983893.16972027</v>
      </c>
    </row>
    <row r="7" spans="1:5" x14ac:dyDescent="0.25">
      <c r="A7" s="4" t="s">
        <v>134</v>
      </c>
      <c r="B7" s="20">
        <f>B6/B4</f>
        <v>-5.0857702385135761</v>
      </c>
      <c r="C7" s="20">
        <f>C6/C4</f>
        <v>-1.0163108947710306</v>
      </c>
      <c r="D7" s="20">
        <f>D6/D4</f>
        <v>-0.20079319204903959</v>
      </c>
    </row>
    <row r="9" spans="1:5" x14ac:dyDescent="0.25">
      <c r="A9" s="4" t="s">
        <v>135</v>
      </c>
      <c r="B9" s="16">
        <f>B6</f>
        <v>-53070913.792999998</v>
      </c>
      <c r="C9" s="16">
        <f>B9+C6</f>
        <v>-87142560.265567809</v>
      </c>
      <c r="D9" s="16">
        <f>C9+D6</f>
        <v>-99126453.435288072</v>
      </c>
    </row>
    <row r="11" spans="1:5" x14ac:dyDescent="0.25">
      <c r="A11" s="4" t="s">
        <v>136</v>
      </c>
      <c r="B11" s="4" t="str">
        <f>IF(B6&gt;0,"Y1",IF(C6&gt;0,"Y2",IF(D6&gt;0,"Y3","Beyond Y3")))</f>
        <v>Beyond Y3</v>
      </c>
    </row>
    <row r="13" spans="1:5" ht="22.35" customHeight="1" x14ac:dyDescent="0.25">
      <c r="A13" s="22" t="s">
        <v>137</v>
      </c>
      <c r="B13" s="22"/>
      <c r="C13" s="22"/>
      <c r="D13" s="22"/>
    </row>
  </sheetData>
  <mergeCells count="2">
    <mergeCell ref="A1:E1"/>
    <mergeCell ref="A13:D13"/>
  </mergeCells>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
  <sheetViews>
    <sheetView showGridLines="0" zoomScaleNormal="100" workbookViewId="0">
      <selection activeCell="A5" sqref="A5:F5"/>
    </sheetView>
  </sheetViews>
  <sheetFormatPr defaultColWidth="8.7109375" defaultRowHeight="15" x14ac:dyDescent="0.25"/>
  <cols>
    <col min="1" max="1" width="30" customWidth="1"/>
    <col min="2" max="2" width="20" customWidth="1"/>
  </cols>
  <sheetData>
    <row r="1" spans="1:6" ht="24" customHeight="1" x14ac:dyDescent="0.25">
      <c r="A1" s="1" t="s">
        <v>138</v>
      </c>
      <c r="B1" s="1"/>
      <c r="C1" s="1"/>
      <c r="D1" s="1"/>
    </row>
    <row r="3" spans="1:6" x14ac:dyDescent="0.25">
      <c r="A3" s="18" t="s">
        <v>139</v>
      </c>
      <c r="B3" s="3" t="s">
        <v>46</v>
      </c>
    </row>
    <row r="5" spans="1:6" ht="32.85" customHeight="1" x14ac:dyDescent="0.25">
      <c r="A5" s="22" t="s">
        <v>140</v>
      </c>
      <c r="B5" s="22"/>
      <c r="C5" s="22"/>
      <c r="D5" s="22"/>
      <c r="E5" s="22"/>
      <c r="F5" s="22"/>
    </row>
  </sheetData>
  <mergeCells count="2">
    <mergeCell ref="A1:D1"/>
    <mergeCell ref="A5:F5"/>
  </mergeCells>
  <dataValidations count="1">
    <dataValidation type="list" sqref="B3" xr:uid="{00000000-0002-0000-0800-000000000000}">
      <formula1>"Conservative,Base,Aggressive"</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showGridLines="0" zoomScaleNormal="100" workbookViewId="0">
      <selection activeCell="C24" sqref="C24"/>
    </sheetView>
  </sheetViews>
  <sheetFormatPr defaultColWidth="8.7109375" defaultRowHeight="15" x14ac:dyDescent="0.25"/>
  <cols>
    <col min="1" max="1" width="30" customWidth="1"/>
    <col min="2" max="7" width="13" customWidth="1"/>
  </cols>
  <sheetData>
    <row r="1" spans="1:7" ht="24" customHeight="1" x14ac:dyDescent="0.25">
      <c r="A1" s="1" t="s">
        <v>141</v>
      </c>
      <c r="B1" s="1"/>
      <c r="C1" s="1"/>
      <c r="D1" s="1"/>
      <c r="E1" s="1"/>
      <c r="F1" s="1"/>
      <c r="G1" s="1"/>
    </row>
    <row r="3" spans="1:7" x14ac:dyDescent="0.25">
      <c r="A3" s="21" t="s">
        <v>142</v>
      </c>
    </row>
    <row r="5" spans="1:7" x14ac:dyDescent="0.25">
      <c r="A5" s="8" t="s">
        <v>143</v>
      </c>
      <c r="B5" s="8">
        <v>80</v>
      </c>
      <c r="C5" s="8">
        <v>90</v>
      </c>
      <c r="D5" s="8">
        <v>100</v>
      </c>
      <c r="E5" s="8">
        <v>110</v>
      </c>
      <c r="F5" s="8">
        <v>120</v>
      </c>
    </row>
    <row r="6" spans="1:7" x14ac:dyDescent="0.25">
      <c r="A6" s="18" t="s">
        <v>144</v>
      </c>
      <c r="B6" s="24" t="s">
        <v>145</v>
      </c>
      <c r="C6" s="24" t="s">
        <v>145</v>
      </c>
      <c r="D6" s="24" t="s">
        <v>145</v>
      </c>
      <c r="E6" s="24" t="s">
        <v>145</v>
      </c>
      <c r="F6" s="24" t="s">
        <v>145</v>
      </c>
    </row>
    <row r="7" spans="1:7" x14ac:dyDescent="0.25">
      <c r="A7" s="18" t="s">
        <v>146</v>
      </c>
      <c r="B7" s="24" t="s">
        <v>145</v>
      </c>
      <c r="C7" s="24" t="s">
        <v>145</v>
      </c>
      <c r="D7" s="24" t="s">
        <v>145</v>
      </c>
      <c r="E7" s="24" t="s">
        <v>145</v>
      </c>
      <c r="F7" s="24" t="s">
        <v>145</v>
      </c>
    </row>
    <row r="8" spans="1:7" x14ac:dyDescent="0.25">
      <c r="A8" s="18" t="s">
        <v>147</v>
      </c>
      <c r="B8" s="24" t="s">
        <v>145</v>
      </c>
      <c r="C8" s="24" t="s">
        <v>145</v>
      </c>
      <c r="D8" s="24" t="s">
        <v>145</v>
      </c>
      <c r="E8" s="24" t="s">
        <v>145</v>
      </c>
      <c r="F8" s="24" t="s">
        <v>145</v>
      </c>
    </row>
    <row r="9" spans="1:7" x14ac:dyDescent="0.25">
      <c r="A9" s="18" t="s">
        <v>148</v>
      </c>
      <c r="B9" s="24" t="s">
        <v>145</v>
      </c>
      <c r="C9" s="24" t="s">
        <v>145</v>
      </c>
      <c r="D9" s="24" t="s">
        <v>145</v>
      </c>
      <c r="E9" s="24" t="s">
        <v>145</v>
      </c>
      <c r="F9" s="24" t="s">
        <v>145</v>
      </c>
    </row>
    <row r="10" spans="1:7" x14ac:dyDescent="0.25">
      <c r="A10" s="18" t="s">
        <v>149</v>
      </c>
      <c r="B10" s="24" t="s">
        <v>145</v>
      </c>
      <c r="C10" s="24" t="s">
        <v>145</v>
      </c>
      <c r="D10" s="24" t="s">
        <v>145</v>
      </c>
      <c r="E10" s="24" t="s">
        <v>145</v>
      </c>
      <c r="F10" s="24" t="s">
        <v>145</v>
      </c>
    </row>
    <row r="12" spans="1:7" ht="43.35" customHeight="1" x14ac:dyDescent="0.25">
      <c r="A12" s="22" t="s">
        <v>150</v>
      </c>
      <c r="B12" s="22"/>
      <c r="C12" s="22"/>
      <c r="D12" s="22"/>
      <c r="E12" s="22"/>
      <c r="F12" s="22"/>
    </row>
  </sheetData>
  <mergeCells count="2">
    <mergeCell ref="A1:G1"/>
    <mergeCell ref="A12:F1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
  <sheetViews>
    <sheetView showGridLines="0" zoomScaleNormal="100" workbookViewId="0">
      <selection activeCell="C29" sqref="C29"/>
    </sheetView>
  </sheetViews>
  <sheetFormatPr defaultColWidth="8.7109375" defaultRowHeight="15" x14ac:dyDescent="0.25"/>
  <cols>
    <col min="1" max="1" width="34" customWidth="1"/>
    <col min="2" max="4" width="16" customWidth="1"/>
  </cols>
  <sheetData>
    <row r="1" spans="1:6" ht="24" customHeight="1" x14ac:dyDescent="0.25">
      <c r="A1" s="1" t="s">
        <v>151</v>
      </c>
      <c r="B1" s="1"/>
      <c r="C1" s="1"/>
      <c r="D1" s="1"/>
    </row>
    <row r="3" spans="1:6" x14ac:dyDescent="0.25">
      <c r="A3" s="14" t="s">
        <v>152</v>
      </c>
      <c r="B3" s="14" t="s">
        <v>130</v>
      </c>
      <c r="C3" s="14" t="s">
        <v>131</v>
      </c>
      <c r="D3" s="14" t="s">
        <v>132</v>
      </c>
    </row>
    <row r="4" spans="1:6" x14ac:dyDescent="0.25">
      <c r="A4" s="4" t="s">
        <v>153</v>
      </c>
      <c r="B4" s="17">
        <f>'3. Growth - Cust &amp; Merchants'!E12</f>
        <v>867.26679999999999</v>
      </c>
      <c r="C4" s="17">
        <f>'3. Growth - Cust &amp; Merchants'!I12</f>
        <v>2004.0168825450878</v>
      </c>
      <c r="D4" s="17">
        <f>'3. Growth - Cust &amp; Merchants'!M12</f>
        <v>3207.782644562049</v>
      </c>
    </row>
    <row r="5" spans="1:6" x14ac:dyDescent="0.25">
      <c r="A5" s="4" t="s">
        <v>154</v>
      </c>
      <c r="B5" s="17">
        <f>'3. Growth - Cust &amp; Merchants'!E7</f>
        <v>48142.183999999994</v>
      </c>
      <c r="C5" s="17">
        <f>'3. Growth - Cust &amp; Merchants'!I7</f>
        <v>115384.24335289703</v>
      </c>
      <c r="D5" s="17">
        <f>'3. Growth - Cust &amp; Merchants'!M7</f>
        <v>190207.44702761003</v>
      </c>
    </row>
    <row r="6" spans="1:6" x14ac:dyDescent="0.25">
      <c r="A6" s="4" t="s">
        <v>155</v>
      </c>
      <c r="B6" s="24" t="s">
        <v>156</v>
      </c>
      <c r="C6" s="24" t="s">
        <v>156</v>
      </c>
      <c r="D6" s="24" t="s">
        <v>156</v>
      </c>
    </row>
    <row r="7" spans="1:6" x14ac:dyDescent="0.25">
      <c r="A7" s="4" t="s">
        <v>157</v>
      </c>
      <c r="B7" s="24" t="s">
        <v>156</v>
      </c>
      <c r="C7" s="24" t="s">
        <v>156</v>
      </c>
      <c r="D7" s="24" t="s">
        <v>156</v>
      </c>
    </row>
    <row r="8" spans="1:6" x14ac:dyDescent="0.25">
      <c r="A8" s="4" t="s">
        <v>158</v>
      </c>
      <c r="B8" s="24" t="s">
        <v>156</v>
      </c>
      <c r="C8" s="24" t="s">
        <v>156</v>
      </c>
      <c r="D8" s="24" t="s">
        <v>156</v>
      </c>
    </row>
    <row r="9" spans="1:6" x14ac:dyDescent="0.25">
      <c r="A9" s="4" t="s">
        <v>134</v>
      </c>
      <c r="B9" s="24" t="s">
        <v>156</v>
      </c>
      <c r="C9" s="24" t="s">
        <v>156</v>
      </c>
      <c r="D9" s="24" t="s">
        <v>156</v>
      </c>
    </row>
    <row r="11" spans="1:6" ht="22.35" customHeight="1" x14ac:dyDescent="0.25">
      <c r="A11" s="22" t="s">
        <v>159</v>
      </c>
      <c r="B11" s="22"/>
      <c r="C11" s="22"/>
      <c r="D11" s="22"/>
      <c r="E11" s="22"/>
      <c r="F11" s="22"/>
    </row>
  </sheetData>
  <mergeCells count="2">
    <mergeCell ref="A1:D1"/>
    <mergeCell ref="A11:F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1. Assumptions - Revenue</vt:lpstr>
      <vt:lpstr>2. Assumptions - Cost</vt:lpstr>
      <vt:lpstr>3. Growth - Cust &amp; Merchants</vt:lpstr>
      <vt:lpstr>4. Transaction Volume Build</vt:lpstr>
      <vt:lpstr>5. Revenue Build</vt:lpstr>
      <vt:lpstr>6. Cost Build</vt:lpstr>
      <vt:lpstr>7. P&amp;L Summary</vt:lpstr>
      <vt:lpstr>8. Scenario Control</vt:lpstr>
      <vt:lpstr>9. Sensitivity Analysis</vt:lpstr>
      <vt:lpstr>10. KPI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2026-08-03T12:59:58Z</dcterms:created>
  <dcterms:modified xsi:type="dcterms:W3CDTF">2026-08-03T17:01:52Z</dcterms:modified>
  <dc:language>en-US</dc:language>
</cp:coreProperties>
</file>