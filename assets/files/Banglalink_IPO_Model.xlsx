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043045-1CC4-4F8E-8593-697F43A5A81C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Cover &amp; Control" sheetId="1" r:id="rId1"/>
    <sheet name="Data Room Tracker" sheetId="2" r:id="rId2"/>
    <sheet name="Management Guidance Tracker" sheetId="3" r:id="rId3"/>
    <sheet name="Assumptions" sheetId="4" r:id="rId4"/>
    <sheet name="Source Data" sheetId="5" r:id="rId5"/>
    <sheet name="Comparable Companies" sheetId="6" r:id="rId6"/>
    <sheet name="Operating Drivers" sheetId="7" r:id="rId7"/>
    <sheet name="Subscriber &amp; ARPU Fcst" sheetId="8" r:id="rId8"/>
    <sheet name="Revenue Build" sheetId="9" r:id="rId9"/>
    <sheet name="EBITDA Build" sheetId="10" r:id="rId10"/>
    <sheet name="CapEx" sheetId="11" r:id="rId11"/>
    <sheet name="Free Cash Flow" sheetId="12" r:id="rId12"/>
    <sheet name="WACC" sheetId="13" r:id="rId13"/>
    <sheet name="DCF Valuation" sheetId="14" r:id="rId14"/>
    <sheet name="Trading Multiples" sheetId="15" r:id="rId15"/>
    <sheet name="Scenario Analysis" sheetId="16" r:id="rId16"/>
    <sheet name="Sensitivity Analysis" sheetId="17" r:id="rId17"/>
    <sheet name="Football Field" sheetId="18" r:id="rId18"/>
    <sheet name="IPO Valuation Summary" sheetId="19" r:id="rId19"/>
    <sheet name="IPO Readiness Scorecard" sheetId="20" r:id="rId20"/>
    <sheet name="Dashboard" sheetId="21" r:id="rId21"/>
    <sheet name="Audit Checks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2" l="1"/>
  <c r="C11" i="22"/>
  <c r="C26" i="21"/>
  <c r="C25" i="21"/>
  <c r="C24" i="21"/>
  <c r="D9" i="21"/>
  <c r="E9" i="21" s="1"/>
  <c r="C9" i="21"/>
  <c r="E7" i="21"/>
  <c r="D7" i="21"/>
  <c r="C7" i="21"/>
  <c r="D6" i="21"/>
  <c r="E6" i="21" s="1"/>
  <c r="C6" i="21"/>
  <c r="E21" i="16"/>
  <c r="D21" i="16"/>
  <c r="E20" i="16"/>
  <c r="D20" i="16"/>
  <c r="E14" i="16"/>
  <c r="D14" i="16"/>
  <c r="C14" i="16"/>
  <c r="E10" i="16"/>
  <c r="D10" i="16"/>
  <c r="C10" i="16"/>
  <c r="E9" i="16"/>
  <c r="D9" i="16"/>
  <c r="C9" i="16"/>
  <c r="E7" i="16"/>
  <c r="E11" i="16" s="1"/>
  <c r="E12" i="16" s="1"/>
  <c r="E15" i="16" s="1"/>
  <c r="D7" i="16"/>
  <c r="D11" i="16" s="1"/>
  <c r="D12" i="16" s="1"/>
  <c r="D15" i="16" s="1"/>
  <c r="D16" i="21" s="1"/>
  <c r="C7" i="16"/>
  <c r="C11" i="16" s="1"/>
  <c r="C12" i="16" s="1"/>
  <c r="C15" i="16" s="1"/>
  <c r="E6" i="16"/>
  <c r="D6" i="16"/>
  <c r="C6" i="16"/>
  <c r="E5" i="16"/>
  <c r="D5" i="16"/>
  <c r="C5" i="16"/>
  <c r="D9" i="15"/>
  <c r="C9" i="15"/>
  <c r="D8" i="15"/>
  <c r="C8" i="15"/>
  <c r="C8" i="13"/>
  <c r="C7" i="13"/>
  <c r="C6" i="13"/>
  <c r="C5" i="13"/>
  <c r="C9" i="13" s="1"/>
  <c r="H12" i="11"/>
  <c r="G12" i="11"/>
  <c r="C6" i="11"/>
  <c r="C15" i="10"/>
  <c r="C16" i="10" s="1"/>
  <c r="C5" i="15" s="1"/>
  <c r="C10" i="15" s="1"/>
  <c r="C7" i="10"/>
  <c r="C6" i="10"/>
  <c r="C10" i="10" s="1"/>
  <c r="C7" i="9"/>
  <c r="C14" i="8"/>
  <c r="D14" i="8" s="1"/>
  <c r="C10" i="8"/>
  <c r="D10" i="8" s="1"/>
  <c r="C9" i="8"/>
  <c r="D6" i="8"/>
  <c r="C6" i="8"/>
  <c r="C11" i="8" s="1"/>
  <c r="C6" i="9" s="1"/>
  <c r="C8" i="9" s="1"/>
  <c r="C13" i="7"/>
  <c r="C12" i="7"/>
  <c r="C11" i="7"/>
  <c r="C8" i="7"/>
  <c r="C6" i="22" s="1"/>
  <c r="D6" i="22" s="1"/>
  <c r="C7" i="7"/>
  <c r="D7" i="7" s="1"/>
  <c r="E7" i="7" s="1"/>
  <c r="F7" i="7" s="1"/>
  <c r="G7" i="7" s="1"/>
  <c r="H7" i="7" s="1"/>
  <c r="C6" i="7"/>
  <c r="D6" i="7" s="1"/>
  <c r="D16" i="6"/>
  <c r="D12" i="15" s="1"/>
  <c r="D8" i="5"/>
  <c r="D8" i="21" s="1"/>
  <c r="C8" i="5"/>
  <c r="C8" i="21" s="1"/>
  <c r="F33" i="4"/>
  <c r="C13" i="14" s="1"/>
  <c r="F32" i="4"/>
  <c r="F30" i="4"/>
  <c r="C12" i="13" s="1"/>
  <c r="F29" i="4"/>
  <c r="C14" i="13" s="1"/>
  <c r="F28" i="4"/>
  <c r="C11" i="13" s="1"/>
  <c r="C13" i="13" s="1"/>
  <c r="F27" i="4"/>
  <c r="F26" i="4"/>
  <c r="F25" i="4"/>
  <c r="F24" i="4"/>
  <c r="F22" i="4"/>
  <c r="F12" i="11" s="1"/>
  <c r="F21" i="4"/>
  <c r="F20" i="4"/>
  <c r="F18" i="4"/>
  <c r="C8" i="22" s="1"/>
  <c r="D8" i="22" s="1"/>
  <c r="F17" i="4"/>
  <c r="F15" i="4"/>
  <c r="F14" i="4"/>
  <c r="F13" i="4"/>
  <c r="F12" i="4"/>
  <c r="F10" i="4"/>
  <c r="F9" i="4"/>
  <c r="F8" i="4"/>
  <c r="C28" i="2"/>
  <c r="C27" i="2"/>
  <c r="C26" i="2"/>
  <c r="C25" i="2"/>
  <c r="D5" i="18" l="1"/>
  <c r="C5" i="18"/>
  <c r="E11" i="10"/>
  <c r="D11" i="10"/>
  <c r="C11" i="10"/>
  <c r="G11" i="10"/>
  <c r="H11" i="10"/>
  <c r="F11" i="10"/>
  <c r="C13" i="9"/>
  <c r="C5" i="22" s="1"/>
  <c r="D5" i="22" s="1"/>
  <c r="C9" i="11"/>
  <c r="C14" i="10"/>
  <c r="C9" i="9"/>
  <c r="C6" i="15" s="1"/>
  <c r="D13" i="15" s="1"/>
  <c r="C16" i="13"/>
  <c r="C16" i="21"/>
  <c r="C8" i="18"/>
  <c r="E10" i="8"/>
  <c r="F10" i="8" s="1"/>
  <c r="G10" i="8" s="1"/>
  <c r="H10" i="8" s="1"/>
  <c r="D11" i="8"/>
  <c r="D6" i="9" s="1"/>
  <c r="E8" i="21"/>
  <c r="E14" i="8"/>
  <c r="D7" i="9"/>
  <c r="E16" i="21"/>
  <c r="D8" i="18"/>
  <c r="C5" i="12"/>
  <c r="C7" i="22"/>
  <c r="D7" i="22" s="1"/>
  <c r="C5" i="17"/>
  <c r="D10" i="15"/>
  <c r="E6" i="7"/>
  <c r="D8" i="7"/>
  <c r="D7" i="18" l="1"/>
  <c r="C7" i="18"/>
  <c r="F14" i="8"/>
  <c r="E7" i="9"/>
  <c r="D8" i="9"/>
  <c r="F6" i="7"/>
  <c r="E8" i="7"/>
  <c r="E6" i="8"/>
  <c r="E11" i="8" s="1"/>
  <c r="E6" i="9" s="1"/>
  <c r="E8" i="9" s="1"/>
  <c r="D6" i="18"/>
  <c r="D11" i="18" s="1"/>
  <c r="C6" i="18"/>
  <c r="C11" i="18" s="1"/>
  <c r="G8" i="17"/>
  <c r="D8" i="17"/>
  <c r="E8" i="17"/>
  <c r="C8" i="17"/>
  <c r="F8" i="17"/>
  <c r="C9" i="22"/>
  <c r="D9" i="22" s="1"/>
  <c r="C9" i="14"/>
  <c r="D5" i="19" l="1"/>
  <c r="C10" i="22"/>
  <c r="D10" i="22" s="1"/>
  <c r="D12" i="21"/>
  <c r="C5" i="19"/>
  <c r="C12" i="21"/>
  <c r="C14" i="22"/>
  <c r="F10" i="14"/>
  <c r="E10" i="14"/>
  <c r="D10" i="14"/>
  <c r="C10" i="14"/>
  <c r="G10" i="14"/>
  <c r="F8" i="7"/>
  <c r="G6" i="7"/>
  <c r="F6" i="8"/>
  <c r="F11" i="8" s="1"/>
  <c r="F6" i="9" s="1"/>
  <c r="D9" i="11"/>
  <c r="D14" i="10"/>
  <c r="D15" i="10" s="1"/>
  <c r="D9" i="9"/>
  <c r="D10" i="9"/>
  <c r="F7" i="9"/>
  <c r="G14" i="8"/>
  <c r="E9" i="11"/>
  <c r="E14" i="10"/>
  <c r="E15" i="10" s="1"/>
  <c r="E9" i="9"/>
  <c r="E10" i="9"/>
  <c r="E11" i="11" l="1"/>
  <c r="E10" i="11"/>
  <c r="E13" i="11" s="1"/>
  <c r="D16" i="10"/>
  <c r="D5" i="12"/>
  <c r="D17" i="10"/>
  <c r="D11" i="11"/>
  <c r="D10" i="11"/>
  <c r="D13" i="11" s="1"/>
  <c r="E16" i="10"/>
  <c r="E5" i="12"/>
  <c r="E17" i="10"/>
  <c r="G7" i="9"/>
  <c r="H14" i="8"/>
  <c r="H7" i="9" s="1"/>
  <c r="F8" i="9"/>
  <c r="G6" i="8"/>
  <c r="G11" i="8" s="1"/>
  <c r="G6" i="9" s="1"/>
  <c r="G8" i="7"/>
  <c r="H6" i="7"/>
  <c r="D14" i="11" l="1"/>
  <c r="D6" i="12"/>
  <c r="D8" i="12" s="1"/>
  <c r="G8" i="9"/>
  <c r="E14" i="11"/>
  <c r="E6" i="12"/>
  <c r="E8" i="12"/>
  <c r="E9" i="12" s="1"/>
  <c r="E10" i="12" s="1"/>
  <c r="D7" i="14" s="1"/>
  <c r="D11" i="14" s="1"/>
  <c r="H6" i="8"/>
  <c r="H11" i="8" s="1"/>
  <c r="H6" i="9" s="1"/>
  <c r="H8" i="9" s="1"/>
  <c r="H8" i="7"/>
  <c r="F9" i="11"/>
  <c r="F10" i="9"/>
  <c r="F14" i="10"/>
  <c r="F15" i="10" s="1"/>
  <c r="F9" i="9"/>
  <c r="F11" i="11" l="1"/>
  <c r="F10" i="11"/>
  <c r="G10" i="9"/>
  <c r="G9" i="11"/>
  <c r="G14" i="10"/>
  <c r="G15" i="10" s="1"/>
  <c r="G9" i="9"/>
  <c r="H10" i="9"/>
  <c r="H9" i="11"/>
  <c r="H14" i="10"/>
  <c r="H15" i="10" s="1"/>
  <c r="H9" i="9"/>
  <c r="F16" i="10"/>
  <c r="F5" i="12"/>
  <c r="F17" i="10"/>
  <c r="D9" i="12"/>
  <c r="D10" i="12" s="1"/>
  <c r="C7" i="14" s="1"/>
  <c r="C11" i="14" s="1"/>
  <c r="G11" i="11" l="1"/>
  <c r="G10" i="11"/>
  <c r="G13" i="11" s="1"/>
  <c r="G5" i="12"/>
  <c r="G17" i="10"/>
  <c r="G16" i="10"/>
  <c r="H11" i="11"/>
  <c r="H10" i="11"/>
  <c r="F13" i="11"/>
  <c r="H17" i="10"/>
  <c r="H5" i="12"/>
  <c r="H16" i="10"/>
  <c r="F14" i="11" l="1"/>
  <c r="F6" i="12"/>
  <c r="G6" i="12"/>
  <c r="G14" i="11"/>
  <c r="H13" i="11"/>
  <c r="G8" i="12"/>
  <c r="G9" i="12" s="1"/>
  <c r="G10" i="12" s="1"/>
  <c r="F7" i="14" s="1"/>
  <c r="F11" i="14" s="1"/>
  <c r="F8" i="12" l="1"/>
  <c r="F9" i="12" s="1"/>
  <c r="F10" i="12" s="1"/>
  <c r="E7" i="14" s="1"/>
  <c r="E11" i="14" s="1"/>
  <c r="H6" i="12"/>
  <c r="H14" i="11"/>
  <c r="H8" i="12" l="1"/>
  <c r="H9" i="12" s="1"/>
  <c r="G15" i="17" l="1"/>
  <c r="E13" i="17"/>
  <c r="F15" i="17"/>
  <c r="D13" i="17"/>
  <c r="G17" i="17"/>
  <c r="E15" i="17"/>
  <c r="C13" i="17"/>
  <c r="F17" i="17"/>
  <c r="D15" i="17"/>
  <c r="E17" i="17"/>
  <c r="D14" i="17"/>
  <c r="D17" i="17"/>
  <c r="C14" i="17"/>
  <c r="G16" i="17"/>
  <c r="E16" i="17"/>
  <c r="C17" i="17"/>
  <c r="G13" i="17"/>
  <c r="F16" i="17"/>
  <c r="H10" i="12"/>
  <c r="G7" i="14" s="1"/>
  <c r="D16" i="17"/>
  <c r="C16" i="17"/>
  <c r="C15" i="17"/>
  <c r="F14" i="17"/>
  <c r="G14" i="17"/>
  <c r="E14" i="17"/>
  <c r="F13" i="17"/>
  <c r="C14" i="14" l="1"/>
  <c r="C15" i="14" s="1"/>
  <c r="G11" i="14"/>
  <c r="C17" i="14" l="1"/>
  <c r="D9" i="18" l="1"/>
  <c r="C9" i="18"/>
</calcChain>
</file>

<file path=xl/sharedStrings.xml><?xml version="1.0" encoding="utf-8"?>
<sst xmlns="http://schemas.openxmlformats.org/spreadsheetml/2006/main" count="829" uniqueCount="618">
  <si>
    <t>BANGLALINK IPO VALUATION MODEL</t>
  </si>
  <si>
    <t>Strictly Private &amp; Confidential — Discussion Draft, Not for Distribution</t>
  </si>
  <si>
    <t>Prepared for:</t>
  </si>
  <si>
    <t>Banglalink Executive Committee / VEON Corporate Development / Investment Committee</t>
  </si>
  <si>
    <t>Prepared by:</t>
  </si>
  <si>
    <t>Telecom, Media &amp; Technology — Investment Banking Division</t>
  </si>
  <si>
    <t>Companion document:</t>
  </si>
  <si>
    <t>Banglalink IPO Advisory Memorandum (v2, corrected against VEON Integrated Annual Report 2025)</t>
  </si>
  <si>
    <t>Model date:</t>
  </si>
  <si>
    <t>July 2026</t>
  </si>
  <si>
    <t>VERSION LOG</t>
  </si>
  <si>
    <t>Version</t>
  </si>
  <si>
    <t>Date</t>
  </si>
  <si>
    <t>Author</t>
  </si>
  <si>
    <t>Summary of Changes</t>
  </si>
  <si>
    <t>1.0</t>
  </si>
  <si>
    <t>TMT IBD</t>
  </si>
  <si>
    <t>Initial build — full 19-tab architecture, calibrated to VEON FY2025 Integrated Annual Report disclosure</t>
  </si>
  <si>
    <t>1.1</t>
  </si>
  <si>
    <t>Jul 2026</t>
  </si>
  <si>
    <t>Reviewed against Erik Aas 'Bangladesh: Growth Ambition 2027' presentation (Jul-2024, prior CEO). Added Management Guidance Tracker and IPO Readiness Scorecard tabs; cross-checked management's 2027 targets against FY2025A actuals and updated Base Case terminal EBITDA margin (46%-&gt;47%) accordingly. No other structural changes.</t>
  </si>
  <si>
    <t>NAVIGATION — CLICK TO JUMP TO TAB</t>
  </si>
  <si>
    <t>01.  Data Room Tracker</t>
  </si>
  <si>
    <t>02.  Management Guidance Tracker</t>
  </si>
  <si>
    <t>03.  Assumptions</t>
  </si>
  <si>
    <t>04.  Source Data</t>
  </si>
  <si>
    <t>05.  Comparable Companies</t>
  </si>
  <si>
    <t>06.  Operating Drivers</t>
  </si>
  <si>
    <t>07.  Subscriber &amp; ARPU Fcst</t>
  </si>
  <si>
    <t>08.  Revenue Build</t>
  </si>
  <si>
    <t>09.  EBITDA Build</t>
  </si>
  <si>
    <t>10.  CapEx</t>
  </si>
  <si>
    <t>11.  Free Cash Flow</t>
  </si>
  <si>
    <t>12.  WACC</t>
  </si>
  <si>
    <t>13.  DCF Valuation</t>
  </si>
  <si>
    <t>14.  Trading Multiples</t>
  </si>
  <si>
    <t>15.  Scenario Analysis</t>
  </si>
  <si>
    <t>16.  Sensitivity Analysis</t>
  </si>
  <si>
    <t>17.  Football Field</t>
  </si>
  <si>
    <t>18.  IPO Valuation Summary</t>
  </si>
  <si>
    <t>19.  IPO Readiness Scorecard</t>
  </si>
  <si>
    <t>20.  Dashboard</t>
  </si>
  <si>
    <t>21.  Audit Checks</t>
  </si>
  <si>
    <t>CONFIDENTIALITY: This workbook is a discussion draft. Every hardcoded input is color-coded blue; every cross-sheet link is green; every formula is black. Cells shaded orange/pending indicate information not yet available from the data room (see 'Data Room Tracker'). Do not overwrite pending cells with assumed values without updating the tracker.</t>
  </si>
  <si>
    <t>DATA ROOM TRACKER</t>
  </si>
  <si>
    <t>Single source of truth for disclosed vs. assumed inputs — update BEFORE changing any formula elsewhere</t>
  </si>
  <si>
    <t>Category</t>
  </si>
  <si>
    <t>Status</t>
  </si>
  <si>
    <t>Source / Citation</t>
  </si>
  <si>
    <t>Last Updated</t>
  </si>
  <si>
    <t>Used In (Tab)</t>
  </si>
  <si>
    <t>Banglalink FY2024/FY2025 revenue, EBITDA, margin</t>
  </si>
  <si>
    <t>Disclosed</t>
  </si>
  <si>
    <t>VEON Integrated Annual Report 2025, p.97</t>
  </si>
  <si>
    <t>Jul-2026</t>
  </si>
  <si>
    <t>Source Data</t>
  </si>
  <si>
    <t>Banglalink digital revenue FY2024/FY2025</t>
  </si>
  <si>
    <t>VEON Integrated Annual Report 2025, p.98</t>
  </si>
  <si>
    <t>Banglalink 4G users &amp; penetration FY2023-2025</t>
  </si>
  <si>
    <t>VEON Integrated Annual Report 2025, p.97-99</t>
  </si>
  <si>
    <t>Source Data / Operating Drivers</t>
  </si>
  <si>
    <t>Banglalink total customer base (VEON definition)</t>
  </si>
  <si>
    <t>VEON Integrated Annual Report 2025, p.97 (34.4mn)</t>
  </si>
  <si>
    <t>BTRC subscriber count (connections basis)</t>
  </si>
  <si>
    <t>Disclosed - reconcile</t>
  </si>
  <si>
    <t>BTRC, Sep-2025 (38.05mn) - NOT directly comparable to VEON customer count</t>
  </si>
  <si>
    <t>Banglalink net debt / gross debt</t>
  </si>
  <si>
    <t>MISSING</t>
  </si>
  <si>
    <t>Not disclosed at segment level - VEON reports only consolidated group net debt</t>
  </si>
  <si>
    <t>-</t>
  </si>
  <si>
    <t>IPO Valuation Summary (blocking)</t>
  </si>
  <si>
    <t>Banglalink working capital detail</t>
  </si>
  <si>
    <t>Not disclosed at segment level</t>
  </si>
  <si>
    <t>Free Cash Flow (set to zero, flagged)</t>
  </si>
  <si>
    <t>Banglalink capex — absolute BDT (2024 base)</t>
  </si>
  <si>
    <t>PARTIAL</t>
  </si>
  <si>
    <t>Only % change disclosed (-41.3% YoY FY2025); absolute FY2024 capex not found</t>
  </si>
  <si>
    <t>CapEx</t>
  </si>
  <si>
    <t>Banglalink tax rate / cash taxes paid</t>
  </si>
  <si>
    <t>Qualitative only: 'reduction in minimum tax obligations' following licensing consolidation (23-&gt;6 categories)</t>
  </si>
  <si>
    <t>Assumptions / Free Cash Flow</t>
  </si>
  <si>
    <t>IPO deal size, primary/secondary split, free float</t>
  </si>
  <si>
    <t>Not disclosed by Company or VEON</t>
  </si>
  <si>
    <t>Assumptions / IPO Valuation Summary (blocking)</t>
  </si>
  <si>
    <t>Management 5-year business plan</t>
  </si>
  <si>
    <t>Not provided - DCF held inactive pending this input</t>
  </si>
  <si>
    <t>DCF Valuation (held inactive)</t>
  </si>
  <si>
    <t>Grameenphone trading multiples &amp; financials</t>
  </si>
  <si>
    <t>stockanalysis.com (DSE:GP); GP FY2024 Annual Report</t>
  </si>
  <si>
    <t>Comparable Companies</t>
  </si>
  <si>
    <t>Robi Axiata trading multiples &amp; financials</t>
  </si>
  <si>
    <t>stockanalysis.com (DSE:ROBI); TradingView</t>
  </si>
  <si>
    <t>USD/BDT FX rates (closing &amp; average)</t>
  </si>
  <si>
    <t>VEON Integrated Annual Report 2025, p.143 (reconciliation tables)</t>
  </si>
  <si>
    <t>Source Data / Assumptions</t>
  </si>
  <si>
    <t>Banglalink CEO / governance</t>
  </si>
  <si>
    <t>Johan Buse, effective 6-Apr-2025, per VEON IAR 2025 p.97</t>
  </si>
  <si>
    <t>Reference only</t>
  </si>
  <si>
    <t>IPO intent - prior CEO strategic slide vs. current CEO FY2025 report</t>
  </si>
  <si>
    <t>2024 deck lists 'Future IPO' as a 2027 pillar; VEON FY2025 IAR (current CEO) does not mention a DSE listing. Open question, not a contradiction to resolve unilaterally.</t>
  </si>
  <si>
    <t>IPO Readiness Scorecard</t>
  </si>
  <si>
    <t>STATUS SUMMARY (feeds Dashboard)</t>
  </si>
  <si>
    <t>Count — Disclosed</t>
  </si>
  <si>
    <t>Count — Partial</t>
  </si>
  <si>
    <t>Count — Missing (blocking)</t>
  </si>
  <si>
    <t>Count — Disclosed, needs reconciliation</t>
  </si>
  <si>
    <t>MANAGEMENT GUIDANCE TRACKER</t>
  </si>
  <si>
    <t>Source: "Bangladesh: Growth Ambition 2027" — Erik Aas (Banglalink CEO), presented Jul-2024. TREAT AS MANAGEMENT GUIDANCE, NOT OBJECTIVE TRUTH — unaudited, pre-turnaround, prior CEO (succeeded by Johan Buse, Apr-2025).</t>
  </si>
  <si>
    <t>CAUTION: This deck predates VEON's FY2025 Integrated Annual Report by ~18 months and was presented by a CEO who has since departed. Every target below is cross-checked against the latest disclosed actual, not assumed to still be management's live guidance.</t>
  </si>
  <si>
    <t>Target / Claim</t>
  </si>
  <si>
    <t>Management Guidance (Jul-2024)</t>
  </si>
  <si>
    <t>FY2025A Actual / Status</t>
  </si>
  <si>
    <t>RAG</t>
  </si>
  <si>
    <t>Recommended Treatment in Model</t>
  </si>
  <si>
    <t>Revenue growth (2023-2027 CAGR, LC)</t>
  </si>
  <si>
    <t>15-18% CAGR (slide 7)</t>
  </si>
  <si>
    <t>FY24-&gt;FY25 revenue DECLINED -6.4% (BDT 59.7bn -&gt; 55.9bn, VEON IAR 2025). Directionally opposite to guidance.</t>
  </si>
  <si>
    <t>RED</t>
  </si>
  <si>
    <t>DO NOT adopt as Base or Bull. Model's Base case (Assumptions row 13, connectivity ARPU -1%/yr + digital growth) is already more conservative and should stay so. Show management's ambition only as a memo line in Scenario Analysis for investor-facing contrast, explicitly labeled unmet.</t>
  </si>
  <si>
    <t>EBITDA margin ("improve to &gt;45%")</t>
  </si>
  <si>
    <t>&gt;45% by 2027 (slide 7)</t>
  </si>
  <si>
    <t>ALREADY EXCEEDED: FY2025A = 49.2% (VEON IAR 2025), vs. FY2024A 34.7%.</t>
  </si>
  <si>
    <t>GREEN</t>
  </si>
  <si>
    <t>Supports raising Assumptions Base Case terminal margin (row 18) modestly — recommend 46% -&gt; 47%, since the disclosed actual already exceeds the 2027 target three years early. Do not raise Bear case; margin durability is still the model's single largest flagged risk.</t>
  </si>
  <si>
    <t>Digital revenue ("grow to 20% of total revenues")</t>
  </si>
  <si>
    <t>20% of total revenue by 2027 (slide 7)</t>
  </si>
  <si>
    <t>5.4% of total revenue in FY2025A (BDT 3.0bn of BDT 55.9bn), up from 0.6% in FY2024A.</t>
  </si>
  <si>
    <t>AMBER</t>
  </si>
  <si>
    <t>Do NOT adopt 20% into Base Case — would require ~4x the current growth trajectory to hit by 2027. Model as a BULL-CASE-ONLY reference point in Assumptions/Scenario Analysis, clearly labeled as management's aspiration, not the analyst base case.</t>
  </si>
  <si>
    <t>Equity Free Cash Flow &gt;100mn USD annually ("to enable consistent dividends")</t>
  </si>
  <si>
    <t>USD 100mn+ EFCF/yr by 2027 (slide 7)</t>
  </si>
  <si>
    <t>Not directly comparable — VEON discloses EFCF at GROUP level only; Banglalink segment EFCF not disclosed. Model's Free Cash Flow tab computes UNLEVERED FCF (a different metric basis than VEON's EFCF definition — see Glossary).</t>
  </si>
  <si>
    <t>GREY</t>
  </si>
  <si>
    <t>Add a clearly-labeled memo reference in Free Cash Flow tab distinguishing Unlevered FCF (this model) from EFCF (VEON's guidance metric). Do not convert or force-fit management's EFCF target into the model's FCF bridge — the metrics are not equivalent without a levered adjustment.</t>
  </si>
  <si>
    <t>Toffee 2027 ambition: BDT 5bn service revenue</t>
  </si>
  <si>
    <t>BDT 5bn by 2027 (slide 5)</t>
  </si>
  <si>
    <t>Total Banglalink digital revenue (Toffee + MyBL + Ryze combined) was BDT 3.0bn in FY2025A — i.e., Toffee ALONE is targeted to exceed the entire current digital segment within ~2 years.</t>
  </si>
  <si>
    <t>Qualitative only. Do not build a Toffee-specific revenue line into Revenue Build — no disclosed Toffee-only actual exists to calibrate a forecast against, and the target appears aggressive relative to the current combined-segment base.</t>
  </si>
  <si>
    <t>MyBL 2027 ambition: 20mn MAU</t>
  </si>
  <si>
    <t>20mn MAU by 2027 (slide 5)</t>
  </si>
  <si>
    <t>8.1mn MAU in 4Q25 (VEON IAR 2025), +4.3% YoY — would require a step-change acceleration (~2.5x) to reach 20mn within ~2 years at current growth rates.</t>
  </si>
  <si>
    <t>Qualitative only (reference KPI). Not used in Revenue Build (digital revenue is forecast via growth rate, not MAU monetization — see Operating Drivers note). Track in this sheet each time new MAU data is disclosed.</t>
  </si>
  <si>
    <t>4G rollout ("88% population coverage", 8x Ookla winner)</t>
  </si>
  <si>
    <t>88% population coverage (2024); nationwide rollout complete (slide 3)</t>
  </si>
  <si>
    <t>VEON IAR 2025 discloses 4G PENETRATION OF SUBSCRIBER BASE (53.3%), a different metric than population coverage. Both can be true simultaneously (coverage vs. active usage) — not contradictory, but not directly comparable.</t>
  </si>
  <si>
    <t>Qualitative context only in Operating Drivers — population coverage (88%) is a network-reach metric, while the model's active driver (4G penetration of subscriber base) is the correct basis for revenue-relevant forecasting. Do not conflate the two metrics.</t>
  </si>
  <si>
    <t>Asset-light: tower sale (1/3 of towers, USD 100mn proceeds)</t>
  </si>
  <si>
    <t>Historical, completed by 2024 (slides 3-4)</t>
  </si>
  <si>
    <t>Historical/completed transaction, predates the FY2024A/FY2025A window modeled here. No incremental capex or cash impact in the forecast period.</t>
  </si>
  <si>
    <t>Reference only in CapEx tab. No formula impact — proceeds are historical and already embedded in whatever capex/balance-sheet base existed before this model's FY2025A starting point.</t>
  </si>
  <si>
    <t>Active network sharing</t>
  </si>
  <si>
    <t>"In discussions" as of 2024 (slide 3); listed as a 2027 capex-efficiency lever (slide 6)</t>
  </si>
  <si>
    <t>Not confirmed as completed or terminated in VEON's FY2025 Integrated Annual Report — status as of the latest disclosure is unknown.</t>
  </si>
  <si>
    <t>Add as a BULL-CASE-ONLY capex efficiency lever in CapEx tab (e.g., a further 1-2pp reduction in normalized network capex intensity), clearly flagged as contingent on an unconfirmed negotiation, not a Base Case assumption.</t>
  </si>
  <si>
    <t>Local funding: converting loans to local currency</t>
  </si>
  <si>
    <t>Stated 2027 strategic priority (slide 6)</t>
  </si>
  <si>
    <t>Not addressed in VEON's FY2025 Integrated Annual Report Bangladesh section reviewed for this workstream.</t>
  </si>
  <si>
    <t>Qualitative only. Relevant context for the WACC tab's cost-of-debt/FX-risk discussion, but no quantified impact to model without further disclosure on loan terms or currency composition.</t>
  </si>
  <si>
    <t>Future IPO ("subject to market conditions")</t>
  </si>
  <si>
    <t>Explicitly listed under "Local funding" as a 2027 strategic priority (slide 6) — by prior CEO Erik Aas</t>
  </si>
  <si>
    <t>NOT restated in VEON's FY2025 Integrated Annual Report (current CEO Johan Buse, effective Apr-2025) — the FY2025 Bangladesh outlook/key priorities list does not mention a DSE listing (consistent with the flag already raised in the IPO Advisory Memorandum).</t>
  </si>
  <si>
    <t>IMPORTANT CORROBORATION, NOT CONTRADICTION: this confirms IPO intent existed under the prior CEO as recently as mid-2024, but its absence from the FY2025 report under new leadership is a genuine open question, not a fabrication of this workstream. Raise explicitly with VEON corporate development: has the IPO ambition been deprioritized, paused pending the turnaround, or simply not restated? See IPO Readiness Scorecard tab.</t>
  </si>
  <si>
    <t>Digital operator strategy (DO1440)</t>
  </si>
  <si>
    <t>DO1440 execution cited as a core 2021-2024 achievement and 2027 pillar (slides 3, 6)</t>
  </si>
  <si>
    <t>DO1440 (and AI1440) remains the active group-wide strategic frame in VEON's FY2025 Integrated Annual Report — CONSISTENT across both sources.</t>
  </si>
  <si>
    <t>No model change required — already reflected in the equity-story framing (memorandum Sections 5, 7) and consistent with current disclosure.</t>
  </si>
  <si>
    <t>EV creation initiatives (spectrum leverage, non-telco DO1440 expansion, asset monetization, FX risk management)</t>
  </si>
  <si>
    <t>Listed as the four pillars of the 2027 strategy (slide 6)</t>
  </si>
  <si>
    <t>Directionally consistent with FY2025A results (digital revenue growth, capex discipline) but not independently quantifiable beyond what's already captured in EBITDA Build and CapEx.</t>
  </si>
  <si>
    <t>No new assumption required — these pillars are qualitative framing already consistent with the model's existing margin-bridge and capex-normalization logic.</t>
  </si>
  <si>
    <t>SUMMARY</t>
  </si>
  <si>
    <t>Overall read: management's MARGIN and DIGITAL-MIX-DIRECTION ambitions are tracking well or already exceeded; the headline REVENUE GROWTH ambition (15-18% CAGR) is currently being missed outright (FY25 revenue declined). This is an important, real tension for the equity story and should be presented to the Board as such — not smoothed over.</t>
  </si>
  <si>
    <t>ASSUMPTIONS</t>
  </si>
  <si>
    <t>Single input sheet — every other tab references this sheet only; no assumption should be hardcoded elsewhere</t>
  </si>
  <si>
    <t>ACTIVE SCENARIO:</t>
  </si>
  <si>
    <t>Base</t>
  </si>
  <si>
    <t>&lt;- select Bear / Base / Bull. Drives the 'Active' column below and every downstream tab EXCEPT Scenario Analysis, which runs Bear/Base/Bull in parallel columns independent of this toggle (see that tab's notes).</t>
  </si>
  <si>
    <t>Assumption</t>
  </si>
  <si>
    <t>Bear</t>
  </si>
  <si>
    <t>Bull</t>
  </si>
  <si>
    <t>Active</t>
  </si>
  <si>
    <t>Source / Basis</t>
  </si>
  <si>
    <t>A.  MACRO / FX</t>
  </si>
  <si>
    <t>USD/BDT average FX rate (BDT per USD)</t>
  </si>
  <si>
    <t>Base = VEON IAR 2025 p.143 FY2025 average rate (121.7); Bear/Bull are illustrative +/-4%</t>
  </si>
  <si>
    <t>Bangladesh CPI inflation (%/yr)</t>
  </si>
  <si>
    <t>Base = TradingEconomics, ~8.7% Mar-2026</t>
  </si>
  <si>
    <t>Bangladesh Bank policy rate (%)</t>
  </si>
  <si>
    <t>Base = TradingEconomics, ~10% policy rate</t>
  </si>
  <si>
    <t>B.  OPERATING DRIVERS</t>
  </si>
  <si>
    <t>Total customer base growth (%/yr)</t>
  </si>
  <si>
    <t>Base year 34.4mn per VEON IAR 2025 p.97; market subscriber base shows saturation (Section 4.2 of memo)</t>
  </si>
  <si>
    <t>Connectivity ARPU growth (%/yr)</t>
  </si>
  <si>
    <t>Reflects flat-to-declining blended ARPU trend noted in memo Section 4.3</t>
  </si>
  <si>
    <t>Digital revenue growth (%/yr)</t>
  </si>
  <si>
    <t>Decelerating off FY2025's ~8x YoY growth (VEON IAR 2025 p.98) as base grows</t>
  </si>
  <si>
    <t>4G penetration growth (pp/yr)</t>
  </si>
  <si>
    <t>Base year 53.3% (2024: 50.2%) per VEON IAR 2025 p.97</t>
  </si>
  <si>
    <t>C.  MARGIN DRIVERS</t>
  </si>
  <si>
    <t>FY2025 EBITDA margin gain retained structurally (%)</t>
  </si>
  <si>
    <t>Judgment call: how much of the 34.7%-&gt;49.2% FY24-&gt;FY25 margin gain is structural (digital mix, network efficiency) vs. a one-year effect of the 41.3% capex cut. THIS IS THE SINGLE LARGEST SWING FACTOR IN THE MODEL.</t>
  </si>
  <si>
    <t>Terminal EBITDA margin (%)</t>
  </si>
  <si>
    <t>Base raised 46%-&gt;47% following cross-check against management's &gt;45% 2027 target, already exceeded at 49.2% FY25A (see Management Guidance Tracker and Assumptions Section H). Bear/Bull unchanged.</t>
  </si>
  <si>
    <t>D.  CAPEX</t>
  </si>
  <si>
    <t>Normalized network capex intensity (% of revenue)</t>
  </si>
  <si>
    <t>FY2025 capex fell 41.3% YoY (VEON IAR 2025 p.98) to an unsustainably low level; this is the assumed NORMALIZED run-rate the model reverts to, not the FY2025 actual (absolute FY2024 capex in BDT not disclosed - see Data Room Tracker)</t>
  </si>
  <si>
    <t>Digital / fintech infrastructure capex (% of revenue)</t>
  </si>
  <si>
    <t>Analyst assumption - supports PSP/Toffee/MyBL platform scale-up</t>
  </si>
  <si>
    <t>5G / 700MHz contingent capex (USD mn/yr, from FY2028E)</t>
  </si>
  <si>
    <t>Contingent overlay only - reflects memo Section 4.7/9 treatment of 5G as multi-year optionality, not committed capex</t>
  </si>
  <si>
    <t>E.  WACC INPUTS</t>
  </si>
  <si>
    <t>Risk-free rate (%)</t>
  </si>
  <si>
    <t>US Treasury proxy - Bangladesh sovereign curve not directly used; country risk captured separately below</t>
  </si>
  <si>
    <t>Equity risk premium (%)</t>
  </si>
  <si>
    <t>Standard long-run US ERP assumption - held constant across cases</t>
  </si>
  <si>
    <t>Country risk premium - Bangladesh (%)</t>
  </si>
  <si>
    <t>Reflects political transition and fiscal-policy volatility flagged in memo Sections 4.9 and 12</t>
  </si>
  <si>
    <t>Unlevered beta proxy (GP/Robi average)</t>
  </si>
  <si>
    <t>See Comparable Companies tab - held constant across cases</t>
  </si>
  <si>
    <t>Pre-tax cost of debt (%)</t>
  </si>
  <si>
    <t>Analyst assumption pending confirmation of Banglalink's actual funding terms</t>
  </si>
  <si>
    <t>Target Debt / Total Capital (%)</t>
  </si>
  <si>
    <t>Proxied from GP/Robi capital structure - held constant across cases</t>
  </si>
  <si>
    <t>Cash tax rate (%)</t>
  </si>
  <si>
    <t>Base reflects VEON IAR 2025 p.97 disclosure of 'reduction in minimum tax obligations' following licensing consolidation (23-&gt;6 categories)</t>
  </si>
  <si>
    <t>F.  VALUATION DISCOUNT / PREMIUM</t>
  </si>
  <si>
    <t>Scale / liquidity discount vs. GP &amp; Robi peer multiples (%)</t>
  </si>
  <si>
    <t>Reflects Banglalink's smaller scale and (pre-IPO) lack of trading liquidity relative to GP/Robi</t>
  </si>
  <si>
    <t>DCF terminal growth rate (%)</t>
  </si>
  <si>
    <t>Held below Bangladesh nominal GDP growth as a discipline check</t>
  </si>
  <si>
    <t>G.  IPO STRUCTURE — PENDING MANAGEMENT / BSEC CONFIRMATION (NOT SCENARIO-DEPENDENT)</t>
  </si>
  <si>
    <t>Primary / secondary offering split (%)</t>
  </si>
  <si>
    <t>PENDING</t>
  </si>
  <si>
    <t>Not disclosed by Company/VEON - see memo Sections 9-10. Do NOT populate with an assumed figure.</t>
  </si>
  <si>
    <t>Target free float (%)</t>
  </si>
  <si>
    <t>Net debt at listing (USD mn)</t>
  </si>
  <si>
    <t>Post-money shares outstanding (mn)</t>
  </si>
  <si>
    <t>H.  MANAGEMENT GUIDANCE REFERENCE (Erik Aas, Jul-2024 — REFERENCE ONLY, NOT AUTO-ADOPTED)</t>
  </si>
  <si>
    <t>Guidance Item</t>
  </si>
  <si>
    <t>Management Target</t>
  </si>
  <si>
    <t>Base Case Treatment</t>
  </si>
  <si>
    <t>Recommended Use</t>
  </si>
  <si>
    <t>Source</t>
  </si>
  <si>
    <t>Revenue CAGR 2023-2027 (LC)</t>
  </si>
  <si>
    <t>15-18%</t>
  </si>
  <si>
    <t>NOT adopted — FY25 revenue declined -6.4% YoY, opposite direction</t>
  </si>
  <si>
    <t>Memo only / Scenario contrast</t>
  </si>
  <si>
    <t>Slide 7</t>
  </si>
  <si>
    <t>EBITDA margin target</t>
  </si>
  <si>
    <t>&gt;45% by 2027</t>
  </si>
  <si>
    <t>Already exceeded (49.2% FY25A) — Base terminal margin raised 46%-&gt;47% (see row 18)</t>
  </si>
  <si>
    <t>Adopted (modified Base)</t>
  </si>
  <si>
    <t>Digital revenue % of total</t>
  </si>
  <si>
    <t>20% by 2027</t>
  </si>
  <si>
    <t>NOT adopted into Base (5.4% FY25A) — retained as Bull-case-only aspiration</t>
  </si>
  <si>
    <t>Bull case only</t>
  </si>
  <si>
    <t>EFCF target</t>
  </si>
  <si>
    <t>&gt;USD 100mn/yr by 2027</t>
  </si>
  <si>
    <t>Different metric basis than model's Unlevered FCF — see Free Cash Flow tab note</t>
  </si>
  <si>
    <t>Qualitative cross-reference only</t>
  </si>
  <si>
    <t>Full cross-check of every management claim against disclosed actuals: see 'Management Guidance Tracker' tab.</t>
  </si>
  <si>
    <t>SOURCE DATA</t>
  </si>
  <si>
    <t>Verbatim historical data only — nothing on this tab is an assumption; every figure is cited</t>
  </si>
  <si>
    <t>Metric</t>
  </si>
  <si>
    <t>FY2024A</t>
  </si>
  <si>
    <t>FY2025A</t>
  </si>
  <si>
    <t>Unit</t>
  </si>
  <si>
    <t>BANGLALINK — SEGMENT FINANCIALS (VEON-DISCLOSED)</t>
  </si>
  <si>
    <t>Revenue</t>
  </si>
  <si>
    <t>BDT bn</t>
  </si>
  <si>
    <t>EBITDA</t>
  </si>
  <si>
    <t>EBITDA margin (calculated)</t>
  </si>
  <si>
    <t>%</t>
  </si>
  <si>
    <t>Calculated — ties to VEON-disclosed 34.7% (2024) / 49.2% (2025)</t>
  </si>
  <si>
    <t>Digital revenue</t>
  </si>
  <si>
    <t>VEON Integrated Annual Report 2025, p.98 (~8x YoY growth)</t>
  </si>
  <si>
    <t>Capex (YoY change only — see note)</t>
  </si>
  <si>
    <t>% YoY</t>
  </si>
  <si>
    <t>VEON Integrated Annual Report 2025, p.98. ABSOLUTE FY2024/FY2025 capex in BDT NOT disclosed at segment level — see Data Room Tracker.</t>
  </si>
  <si>
    <t>4G users (3-month active)</t>
  </si>
  <si>
    <t>mn</t>
  </si>
  <si>
    <t>VEON Integrated Annual Report 2025, p.97, 99</t>
  </si>
  <si>
    <t>4G penetration</t>
  </si>
  <si>
    <t>% of base</t>
  </si>
  <si>
    <t>Total customers (VEON definition)</t>
  </si>
  <si>
    <t>MyBL monthly active users (4Q)</t>
  </si>
  <si>
    <t>VEON Integrated Annual Report 2025, p.98 (+4.3% YoY)</t>
  </si>
  <si>
    <t>Toffee monthly active users (Dec)</t>
  </si>
  <si>
    <t>Ryze monthly active users</t>
  </si>
  <si>
    <t>VEON Integrated Annual Report 2025, p.98 (+48.0% YoY)</t>
  </si>
  <si>
    <t>Multiplay adoption growth</t>
  </si>
  <si>
    <t>RECONCILIATION FLAG — CUSTOMER COUNT DISCREPANCY</t>
  </si>
  <si>
    <t>BTRC-sourced subscriber count (connections basis)</t>
  </si>
  <si>
    <t>BTRC, Aug-2025. NOT directly comparable to VEON's 34.4mn 'customer' figure — likely reflects BTRC connections/SIMs basis vs. VEON's revenue-generating customer definition. DO NOT silently pick one — flag both to management for reconciliation.</t>
  </si>
  <si>
    <t>MARKET-WIDE DATA (BTRC / INDUSTRY PRESS, FY2024)</t>
  </si>
  <si>
    <t>Operator</t>
  </si>
  <si>
    <t>Revenue (BDT bn)</t>
  </si>
  <si>
    <t>Net Profit (BDT bn)</t>
  </si>
  <si>
    <t>Subscriber Share</t>
  </si>
  <si>
    <t>Grameenphone (DSE:GP)</t>
  </si>
  <si>
    <t>BTRC / industry press, FY2024</t>
  </si>
  <si>
    <t>Robi Axiata (DSE:ROBI)</t>
  </si>
  <si>
    <t>Banglalink</t>
  </si>
  <si>
    <t>n/d</t>
  </si>
  <si>
    <t>VEON IAR 2025 (revenue); BTRC (share)</t>
  </si>
  <si>
    <t>Teletalk (state-owned)</t>
  </si>
  <si>
    <t>FX RATES (USD/BDT)</t>
  </si>
  <si>
    <t>Rate Type</t>
  </si>
  <si>
    <t>Closing rate</t>
  </si>
  <si>
    <t>BDT/USD</t>
  </si>
  <si>
    <t>VEON Integrated Annual Report 2025, p.143</t>
  </si>
  <si>
    <t>Average rate</t>
  </si>
  <si>
    <t>COMPARABLE COMPANIES</t>
  </si>
  <si>
    <t>Grameenphone (DSE:GP) and Robi Axiata (DSE:ROBI) — the only two direct, same-market, same-regulatory-regime peers</t>
  </si>
  <si>
    <t>Grameenphone (GP)</t>
  </si>
  <si>
    <t>Robi Axiata (ROBI)</t>
  </si>
  <si>
    <t>Market capitalization</t>
  </si>
  <si>
    <t>stockanalysis.com (DSE:GP, DSE:ROBI), late-2025/early-2026 pricing</t>
  </si>
  <si>
    <t>Enterprise value</t>
  </si>
  <si>
    <t>n/d — not confirmed in sources reviewed</t>
  </si>
  <si>
    <t>Robi EV per stockanalysis.com; GP EV not confirmed in sources reviewed — flagged, not estimated</t>
  </si>
  <si>
    <t>LTM revenue</t>
  </si>
  <si>
    <t>GP/Robi FY2024 disclosures (industry press)</t>
  </si>
  <si>
    <t>LTM EBITDA</t>
  </si>
  <si>
    <t>Not confirmed in sources reviewed for either company — multiples below are as directly reported, not back-solved</t>
  </si>
  <si>
    <t>LTM net income</t>
  </si>
  <si>
    <t>EV / EBITDA (LTM, as reported)</t>
  </si>
  <si>
    <t>x</t>
  </si>
  <si>
    <t>stockanalysis.com</t>
  </si>
  <si>
    <t>P/E (trailing)</t>
  </si>
  <si>
    <t>P/E (forward)</t>
  </si>
  <si>
    <t>Dividend yield</t>
  </si>
  <si>
    <t>CALCULATED CROSS-CHECK MULTIPLES</t>
  </si>
  <si>
    <t>EV / Revenue (Robi — EV known)</t>
  </si>
  <si>
    <t>N/A — GP EV not confirmed</t>
  </si>
  <si>
    <t>Calculated. GP EV/Revenue deliberately left blank rather than estimated from market cap alone (would understate EV by excluding net debt).</t>
  </si>
  <si>
    <t>BETA PROXY (FOR WACC)</t>
  </si>
  <si>
    <t>Unlevered beta (illustrative — see note)</t>
  </si>
  <si>
    <t>ASSUMPTION, NOT DISCLOSED: GP/Robi observed betas not sourced in this workstream. 0.85 is an illustrative emerging-market telecom proxy — replace with GP/Robi regression betas (e.g., 2-3yr weekly vs. DSE index) before this model is used for a live transaction.</t>
  </si>
  <si>
    <t>OPERATING DRIVERS</t>
  </si>
  <si>
    <t>Non-financial KPI engine — subscriber base, 4G penetration, digital adoption. Feeds Subscriber &amp; ARPU Forecast.</t>
  </si>
  <si>
    <t>FY2026E</t>
  </si>
  <si>
    <t>FY2027E</t>
  </si>
  <si>
    <t>FY2028E</t>
  </si>
  <si>
    <t>FY2029E</t>
  </si>
  <si>
    <t>FY2030E</t>
  </si>
  <si>
    <t>Notes</t>
  </si>
  <si>
    <t>SUBSCRIBER BASE</t>
  </si>
  <si>
    <t>Total customers (mn)</t>
  </si>
  <si>
    <t>Base FY2025A = VEON-reported 34.4mn. Grows at Assumptions active customer growth rate.</t>
  </si>
  <si>
    <t>4G penetration (% of base)</t>
  </si>
  <si>
    <t>Base FY2025A = 53.3% (VEON-disclosed). Grows by active pp/yr assumption, capped at 95%.</t>
  </si>
  <si>
    <t>4G users (mn, calculated)</t>
  </si>
  <si>
    <t>Calculated = Total customers x 4G penetration. FY2025A should tie to VEON-disclosed 18.4mn — see Audit Checks.</t>
  </si>
  <si>
    <t>DIGITAL PLATFORM REFERENCE KPIs (NOT USED IN REVENUE BUILD FORMULAS — CONTEXT ONLY)</t>
  </si>
  <si>
    <t>MyBL MAU (mn)</t>
  </si>
  <si>
    <t>Toffee MAU (mn)</t>
  </si>
  <si>
    <t>Ryze MAU (mn)</t>
  </si>
  <si>
    <t>Digital revenue is forecast directly via a revenue growth rate (see Revenue Build), not a per-MAU monetization build, given no disclosed digital ARPU/monetization-per-user metric. These MAU figures are shown for context and future refinement only.</t>
  </si>
  <si>
    <t>SUBSCRIBER &amp; ARPU FORECAST</t>
  </si>
  <si>
    <t>Converts operating drivers into the two inputs Revenue Build needs: subscriber base and blended ARPU</t>
  </si>
  <si>
    <t>CUSTOMER BASE (LINKED)</t>
  </si>
  <si>
    <t>CONNECTIVITY REVENUE &amp; ARPU</t>
  </si>
  <si>
    <t>Connectivity revenue (BDT bn, FY2025A = Total - Digital)</t>
  </si>
  <si>
    <t>Implied connectivity ARPU (BDT/month)</t>
  </si>
  <si>
    <t>FY2025A calculated (not disclosed directly). Forward = prior x (1+active connectivity ARPU growth).</t>
  </si>
  <si>
    <t>Forward connectivity revenue (BDT bn, calculated)</t>
  </si>
  <si>
    <t>Formula: Customers(mn) x ARPU(BDT/mo) x 12 / 1000. FY2025A should tie to Connectivity revenue base row above — see Audit Checks.</t>
  </si>
  <si>
    <t>DIGITAL REVENUE (GROWTH-RATE BASIS — NOT PER-USER ARPU)</t>
  </si>
  <si>
    <t>Digital revenue (BDT bn)</t>
  </si>
  <si>
    <t>FY2025A = VEON-disclosed BDT 3.0bn (~8x YoY). Forward growth decelerates per Assumptions active digital growth rate. Forecast directly via revenue growth rate, not a MyBL/Toffee MAU-based monetization build (no disclosed digital ARPU).</t>
  </si>
  <si>
    <t>REVENUE BUILD</t>
  </si>
  <si>
    <t>Segment revenue tying subscriber/ARPU drivers to total revenue, reconciled to the FY2025A disclosed actual</t>
  </si>
  <si>
    <t>REVENUE BY SEGMENT (BDT bn)</t>
  </si>
  <si>
    <t>Connectivity revenue</t>
  </si>
  <si>
    <t>Total revenue (BDT bn)</t>
  </si>
  <si>
    <t>Total revenue (USD mn, at active FX)</t>
  </si>
  <si>
    <t>BDT bn x 1000 = BDT mn, divided by BDT/USD rate = USD mn</t>
  </si>
  <si>
    <t>YoY growth (%)</t>
  </si>
  <si>
    <t>RECONCILIATION CHECK — MUST TIE TO ZERO IN FY2025A</t>
  </si>
  <si>
    <t>Total revenue (this build) vs. Source Data actual</t>
  </si>
  <si>
    <t>Should equal exactly 0.0 by construction (connectivity = total - digital, both from Source Data). If non-zero, the build has a structural error — fix before extending forward. See Audit Checks.</t>
  </si>
  <si>
    <t>EBITDA BUILD</t>
  </si>
  <si>
    <t>Margin-bridge approach, not a single blended assumption — explains WHY margin moves, calibrated to the disclosed FY24-&gt;FY25 actual bridge</t>
  </si>
  <si>
    <t>HISTORICAL MARGIN BRIDGE (ACTUAL, FOR CALIBRATION)</t>
  </si>
  <si>
    <t>FY2024A EBITDA margin (actual)</t>
  </si>
  <si>
    <t>FY2025A EBITDA margin (actual)</t>
  </si>
  <si>
    <t>FORWARD MARGIN PATH — JUDGMENT-DRIVEN, NOT MECHANICAL</t>
  </si>
  <si>
    <t>'New normal' margin (FY2026E starting point)</t>
  </si>
  <si>
    <t>Formula: FY24 margin + (FY25 margin - FY24 margin) x retention factor. Tests how much of the 34.7%-&gt;49.2% gain is structural vs. a one-year effect of the 41.3% capex cut, per Assumptions active retention factor.</t>
  </si>
  <si>
    <t>EBITDA margin (forecast path, linear to terminal by FY2030E)</t>
  </si>
  <si>
    <t>Linear interpolation from 'new normal' (FY2026E) to Assumptions active terminal margin (FY2030E).</t>
  </si>
  <si>
    <t>EBITDA CALCULATION</t>
  </si>
  <si>
    <t>Total revenue (BDT bn, linked)</t>
  </si>
  <si>
    <t>EBITDA (BDT bn)</t>
  </si>
  <si>
    <t>FY2025A = Source Data actual (BDT 27.5bn). Forward = Revenue x forecast margin path.</t>
  </si>
  <si>
    <t>EBITDA (USD mn, at active FX)</t>
  </si>
  <si>
    <t>EBITDA YoY growth (%)</t>
  </si>
  <si>
    <t>CAPEX</t>
  </si>
  <si>
    <t>Forward capex by category — FY2025 (-41.3% YoY) treated as an unsustainably low base, not the steady state</t>
  </si>
  <si>
    <t>HISTORICAL — FLAGGED DATA GAP</t>
  </si>
  <si>
    <t>Capex YoY change (disclosed)</t>
  </si>
  <si>
    <t>VEON discloses only the % change (-41.3% YoY FY2025), not absolute BDT figures at the segment level. Absolute FY2025A capex is therefore NOT populated here — see Data Room Tracker. Forward capex below is built bottom-up from revenue intensity, not grown off an unknown base.</t>
  </si>
  <si>
    <t>FORWARD CAPEX BUILD (BDT bn) — INTENSITY-BASED, NOT GROWN OFF FY2025A ACTUAL</t>
  </si>
  <si>
    <t>Total revenue (linked)</t>
  </si>
  <si>
    <t>Network capex (normalized intensity x revenue)</t>
  </si>
  <si>
    <t>n/a — FY2025A base not disclosed</t>
  </si>
  <si>
    <t>Digital / fintech infrastructure capex</t>
  </si>
  <si>
    <t>n/a</t>
  </si>
  <si>
    <t>5G / 700MHz contingent capex (USD mn active, from FY2028E)</t>
  </si>
  <si>
    <t>Zero through FY2027E — 5G/700MHz treated as multi-year optionality, not committed capex (memo Sections 4.7, 9). Converted from active USD mn assumption to BDT bn using active FX rate.</t>
  </si>
  <si>
    <t>Total capex (BDT bn)</t>
  </si>
  <si>
    <t>Capex intensity (% of revenue, calculated check)</t>
  </si>
  <si>
    <t>MANAGEMENT GUIDANCE CROSS-REFERENCE (Erik Aas presentation, Jul-2024)</t>
  </si>
  <si>
    <t>Tower monetization (historical, completed)</t>
  </si>
  <si>
    <t>1/3 of towers sold, USD 100mn proceeds (slides 3-4) — historical/completed, predates this model's FY2025A base. No forward capex or cash-flow impact modeled.</t>
  </si>
  <si>
    <t>Active network sharing (unconfirmed — Bull-case lever only)</t>
  </si>
  <si>
    <t>Management cited this as 'in discussions' (2024) and a 2027 capex-efficiency pillar; status not confirmed in VEON's FY2025 disclosure. NOT built into Base Case network capex intensity (Assumptions row 20). If confirmed, would justify an additional 1-2pp reduction in normalized capex intensity beyond the current Bull case (13%). Update Assumptions directly if/when confirmed — do not hardcode here.</t>
  </si>
  <si>
    <t>FREE CASH FLOW</t>
  </si>
  <si>
    <t>Unlevered FCF bridge — FY2025A left blank given the capex data gap; forecast years only</t>
  </si>
  <si>
    <t>EBITDA (BDT bn, linked)</t>
  </si>
  <si>
    <t>Less: Capex (BDT bn, linked)</t>
  </si>
  <si>
    <t>n/a — FY2025A absolute capex not disclosed</t>
  </si>
  <si>
    <t>Less: Change in net working capital</t>
  </si>
  <si>
    <t>EXPLICIT SIMPLIFICATION, NOT AN OMISSION: Banglalink segment working-capital detail is not disclosed (see Data Room Tracker). Set to zero and flagged here rather than estimated as a % of revenue with no evidentiary basis.</t>
  </si>
  <si>
    <t>Less: Cash taxes (approx. — see note)</t>
  </si>
  <si>
    <t>Taxable proxy = EBITDA - Capex (D&amp;A approximated by Capex at steady state), x active cash tax rate. Simplification given no disclosed D&amp;A schedule — refine once available.</t>
  </si>
  <si>
    <t>Unlevered Free Cash Flow (BDT bn)</t>
  </si>
  <si>
    <t>Unlevered FCF (USD mn, at active FX)</t>
  </si>
  <si>
    <t>MANAGEMENT GUIDANCE CROSS-REFERENCE — METRIC BASIS CAUTION</t>
  </si>
  <si>
    <t>Management 2027 ambition: EFCF &gt; USD 100mn/yr</t>
  </si>
  <si>
    <t>Erik Aas presentation, Jul-2024, slide 7 ("to enable consistent dividends")</t>
  </si>
  <si>
    <t>CAUTION: VEON defines EFCF (Equity Free Cash Flow) as free cash flow from operating + investing activities, excluding license payments/banking cash flows/M&amp;A/deposit flows — a DIFFERENT metric than this tab's Unlevered FCF (EBITDA - Capex - NWC - Cash Taxes). Do not compare the two directly without an explicit bridge. Segment-level EFCF is not disclosed for Banglalink; only VEON group-level EFCF appears in VEON's reporting.</t>
  </si>
  <si>
    <t>WACC</t>
  </si>
  <si>
    <t>Discount rate build — CAPM cost of equity, blended with after-tax cost of debt</t>
  </si>
  <si>
    <t>Value</t>
  </si>
  <si>
    <t>Risk-free rate</t>
  </si>
  <si>
    <t>Equity risk premium</t>
  </si>
  <si>
    <t>Country risk premium (Bangladesh)</t>
  </si>
  <si>
    <t>Isolated separately per Board request rather than folded into a generic ERP — reflects political transition and fiscal-policy volatility discussed in memo Sections 4.9, 12</t>
  </si>
  <si>
    <t>Beta (unlevered proxy, GP/Robi)</t>
  </si>
  <si>
    <t>Cost of equity (CAPM)</t>
  </si>
  <si>
    <t>Formula: Risk-free + Beta x ERP + Country risk premium</t>
  </si>
  <si>
    <t>Pre-tax cost of debt</t>
  </si>
  <si>
    <t>Cash tax rate</t>
  </si>
  <si>
    <t>After-tax cost of debt</t>
  </si>
  <si>
    <t>Target Debt / Total Capital</t>
  </si>
  <si>
    <t>Formula: Cost of equity x (1 - D/C) + After-tax cost of debt x D/C</t>
  </si>
  <si>
    <t>DCF VALUATION — INACTIVE PENDING BUSINESS PLAN</t>
  </si>
  <si>
    <t>Built for structural completeness. NOT for use in investment committee materials until management provides a validated business plan.</t>
  </si>
  <si>
    <t>STATUS: INACTIVE — outputs below are illustrative only, pending management business plan (see Data Room Tracker)</t>
  </si>
  <si>
    <t>Unlevered FCF (USD mn, linked)</t>
  </si>
  <si>
    <t>Discount period (mid-year convention)</t>
  </si>
  <si>
    <t>WACC (linked)</t>
  </si>
  <si>
    <t>Discount factor</t>
  </si>
  <si>
    <t>PV of FCF (USD mn)</t>
  </si>
  <si>
    <t>Terminal growth rate (linked)</t>
  </si>
  <si>
    <t>Terminal value (undiscounted, USD mn)</t>
  </si>
  <si>
    <t>PV of terminal value (USD mn)</t>
  </si>
  <si>
    <t>Implied Enterprise Value (USD mn) — INACTIVE</t>
  </si>
  <si>
    <t>TRADING MULTIPLES</t>
  </si>
  <si>
    <t>Applies GP and Robi peer multiples to Banglalink's disclosed FY2025A EBITDA/Revenue — the primary near-term valuation method</t>
  </si>
  <si>
    <t>GP-based</t>
  </si>
  <si>
    <t>Robi-based</t>
  </si>
  <si>
    <t>Banglalink FY2025A EBITDA (USD mn, linked)</t>
  </si>
  <si>
    <t>Banglalink FY2025A revenue (USD mn, linked)</t>
  </si>
  <si>
    <t>Peer EV/EBITDA multiple (linked)</t>
  </si>
  <si>
    <t>Scale/liquidity discount (active, linked)</t>
  </si>
  <si>
    <t>Implied EV — EV/EBITDA method (USD mn)</t>
  </si>
  <si>
    <t>Peer EV/Revenue multiple (Robi only — GP EV n/d, linked)</t>
  </si>
  <si>
    <t>Implied EV — EV/Revenue cross-check (USD mn)</t>
  </si>
  <si>
    <t>N/A</t>
  </si>
  <si>
    <t>Cross-check only</t>
  </si>
  <si>
    <t>SCENARIO ANALYSIS (BEAR / BASE / BULL)</t>
  </si>
  <si>
    <t>Runs Bear/Base/Bull in parallel columns, independent of the Assumptions toggle — more robust than a toggle-and-record approach (see Cover notes)</t>
  </si>
  <si>
    <t>FY2025A Revenue (BDT bn, common base)</t>
  </si>
  <si>
    <t>Revenue growth rate (%/yr, connectivity+digital blended proxy)</t>
  </si>
  <si>
    <t>Condensed blended growth proxy = subscriber growth + 10% weight of the digital/connectivity growth gap, for a single-line revenue driver appropriate to a summary tab (full detail lives in Revenue Build).</t>
  </si>
  <si>
    <t>FY2030E Revenue (BDT bn, compounded 5yr)</t>
  </si>
  <si>
    <t>EBITDA margin retention factor (linked)</t>
  </si>
  <si>
    <t>Terminal EBITDA margin (linked)</t>
  </si>
  <si>
    <t>FY2030E EBITDA (BDT bn, at terminal margin)</t>
  </si>
  <si>
    <t>FY2030E EBITDA (USD mn)</t>
  </si>
  <si>
    <t>Scale/liquidity discount (linked)</t>
  </si>
  <si>
    <t>Implied FY2030E EV — GP multiple applied (USD mn)</t>
  </si>
  <si>
    <t>MEMO: MANAGEMENT'S OWN 2027 AMBITION vs. MODEL SCENARIOS (reference only — different time horizon, not a 4th case)</t>
  </si>
  <si>
    <t>NOTE ON TIME HORIZON</t>
  </si>
  <si>
    <t>Management's targets are set for FY2027; this model's explicit forecast runs to FY2030E. Figures below are shown for directional context only, not a like-for-like comparison point.</t>
  </si>
  <si>
    <t>Management 2027 Ambition</t>
  </si>
  <si>
    <t>Bear Case (this model)</t>
  </si>
  <si>
    <t>Base Case (this model)</t>
  </si>
  <si>
    <t>Revenue growth</t>
  </si>
  <si>
    <t>+15% to +18% CAGR (2023-2027)</t>
  </si>
  <si>
    <t>EBITDA margin</t>
  </si>
  <si>
    <t>&gt;45% by 2027 (already exceeded — 49.2% FY25A)</t>
  </si>
  <si>
    <t>Not modeled as a direct %; digital revenue grows off FY25A base at Bear-case growth rate (see Assumptions row 14)</t>
  </si>
  <si>
    <t>Full item-by-item cross-check of management's guidance against disclosed actuals: see 'Management Guidance Tracker' tab. Management's revenue-growth ambition is NOT reflected in either Bear or Base case — FY2025A results moved in the opposite direction (revenue declined). This is a deliberate modeling choice, not an oversight.</t>
  </si>
  <si>
    <t>SENSITIVITY ANALYSIS</t>
  </si>
  <si>
    <t>Explicit-formula grids (not live Excel Data Tables, for portability/performance) — refresh manually if base-case assumptions change materially</t>
  </si>
  <si>
    <t>GRID 1 — IMPLIED EV (USD mn): FY2025A EBITDA x EXIT MULTIPLE</t>
  </si>
  <si>
    <t>EV/EBITDA multiple -&gt;</t>
  </si>
  <si>
    <t>Implied EV (USD mn)</t>
  </si>
  <si>
    <t>GRID 2 — DCF: WACC x TERMINAL GROWTH (USD mn, illustrative — DCF inactive)</t>
  </si>
  <si>
    <t>WACC \ Term. Growth -&gt;</t>
  </si>
  <si>
    <t>Grid 2 uses FY2030E unlevered FCF as the terminal-value base cash flow (undiscounted grid, for illustration of sensitivity direction only — full PV-weighted DCF sits on the DCF Valuation tab and remains inactive pending business plan).</t>
  </si>
  <si>
    <t>FOOTBALL FIELD VALUATION</t>
  </si>
  <si>
    <t>Consolidates every methodology into one range comparison — every figure traceable back to its source tab</t>
  </si>
  <si>
    <t>Methodology</t>
  </si>
  <si>
    <t>Low (USD mn)</t>
  </si>
  <si>
    <t>High (USD mn)</t>
  </si>
  <si>
    <t>Trading Comps — EV/EBITDA (GP-based)</t>
  </si>
  <si>
    <t>High = +15% vs. Bull-case discount sensitivity, illustrative range around base-case point estimate</t>
  </si>
  <si>
    <t>Trading Comps — EV/EBITDA (Robi-based)</t>
  </si>
  <si>
    <t>Trading Comps — EV/Revenue cross-check</t>
  </si>
  <si>
    <t>Scenario-based (Bear-to-Bull, FY2030E EV)</t>
  </si>
  <si>
    <t>DCF (INACTIVE — pending business plan)</t>
  </si>
  <si>
    <t>RECOMMENDED PRIMARY RANGE (Trading Comps only, excl. DCF)</t>
  </si>
  <si>
    <t>IPO VALUATION SUMMARY</t>
  </si>
  <si>
    <t>Bridges enterprise value to equity value and per-share terms — several outputs PENDING by design, not estimated</t>
  </si>
  <si>
    <t>Low</t>
  </si>
  <si>
    <t>High</t>
  </si>
  <si>
    <t>Enterprise Value (USD mn, Trading Comps range, linked)</t>
  </si>
  <si>
    <t>Less: Net debt at listing (USD mn)</t>
  </si>
  <si>
    <t>Not disclosed by Company/VEON at segment level — see Data Room Tracker (BLOCKING item)</t>
  </si>
  <si>
    <t>Implied Equity Value (USD mn)</t>
  </si>
  <si>
    <t>PENDING — requires net debt above</t>
  </si>
  <si>
    <t>Formula = EV - Net Debt, held pending rather than computed off an assumed net debt figure</t>
  </si>
  <si>
    <t>OFFER STRUCTURE — ALL PENDING MANAGEMENT / BSEC CONFIRMATION</t>
  </si>
  <si>
    <t>Primary / secondary split</t>
  </si>
  <si>
    <t>Not disclosed — memo Sections 9-10. Do NOT populate with an assumed share count or price; a fabricated per-share figure would undermine the credibility of the entire valuation.</t>
  </si>
  <si>
    <t>Implied offer price range (per share)</t>
  </si>
  <si>
    <t>IPO READINESS SCORECARD</t>
  </si>
  <si>
    <t>Synthesizes the Advisory Memorandum, this workbook, and management's own strategic guidance into one readiness view for the Board</t>
  </si>
  <si>
    <t>Readiness Dimension</t>
  </si>
  <si>
    <t>Commentary</t>
  </si>
  <si>
    <t>Financial disclosure (top-line)</t>
  </si>
  <si>
    <t>READY</t>
  </si>
  <si>
    <t>Segment revenue, EBITDA, margin, digital revenue, and 4G KPIs are now disclosed via VEON's FY2025 Integrated Annual Report — a material improvement versus the standalone-opacity concern raised in early drafts of this workstream.</t>
  </si>
  <si>
    <t>VEON IAR 2025; Source Data tab</t>
  </si>
  <si>
    <t>Financial disclosure (sub-segment)</t>
  </si>
  <si>
    <t>NOT READY</t>
  </si>
  <si>
    <t>Net debt, working capital, tax detail, and absolute capex figures remain undisclosed at the Banglalink segment level — this is the single largest blocking item preventing a per-share valuation output (see IPO Valuation Summary tab).</t>
  </si>
  <si>
    <t>Data Room Tracker tab</t>
  </si>
  <si>
    <t>Operational turnaround durability</t>
  </si>
  <si>
    <t>FY2025 shows a strong, confirmed turnaround (EBITDA +32.5% YoY, margin to 49.2%), but this is one year of data. Management's own prior revenue-growth ambition (15-18% CAGR) was missed in the same period revenue actually declined. A second confirmed year is needed before treating the turnaround as structural rather than a strong single year.</t>
  </si>
  <si>
    <t>Management Guidance Tracker; Scenario Analysis</t>
  </si>
  <si>
    <t>Management strategic continuity</t>
  </si>
  <si>
    <t>OPEN QUESTION</t>
  </si>
  <si>
    <t>CEO transition (Erik Aas -&gt; Johan Buse, Apr-2025) coincided with a change in stated priorities: the prior CEO's 2024 deck explicitly listed "Future IPO" as a 2027 strategic pillar; the new CEO's FY2025 disclosed priorities do not mention a DSE listing. This may reflect deprioritization, a pause pending the turnaround, or simply non-restatement — it should be raised directly with VEON corporate development before further workstream resourcing, not assumed either way.</t>
  </si>
  <si>
    <t>Management Guidance Tracker; Erik Aas presentation slide 6</t>
  </si>
  <si>
    <t>Regulatory relationship (BSEC)</t>
  </si>
  <si>
    <t>Constructive, multi-year public engagement history exists, but no confirmed pre-filing consultation on float sizing or pricing mechanism.</t>
  </si>
  <si>
    <t>IPO Advisory Memorandum Section 11</t>
  </si>
  <si>
    <t>Governance / board independence</t>
  </si>
  <si>
    <t>No disclosed independent board component specific to a standalone Banglalink listing vehicle; governance currently operates through VEON's Group Authority Matrix and OpCo Board structure.</t>
  </si>
  <si>
    <t>IPO Advisory Memorandum Section 13.5</t>
  </si>
  <si>
    <t>Deal structure clarity</t>
  </si>
  <si>
    <t>Primary/secondary split, target free float, and net debt are all undisclosed/PENDING. No per-share valuation can be produced until these are confirmed (IPO Valuation Summary tab deliberately left blank rather than estimated).</t>
  </si>
  <si>
    <t>IPO Valuation Summary tab</t>
  </si>
  <si>
    <t>Valuation framework readiness</t>
  </si>
  <si>
    <t>Full trading-comps and scenario valuation architecture is built and tie-checked (see Audit Checks tab); DCF is built but correctly held inactive pending a management business plan.</t>
  </si>
  <si>
    <t>Trading Multiples, Scenario Analysis, DCF Valuation, Audit Checks tabs</t>
  </si>
  <si>
    <t>Equity story differentiation</t>
  </si>
  <si>
    <t>PSP licence and digital-platform growth (Toffee/MyBL/Ryze) provide genuine differentiation vs. GP/Robi, but management's own 2027 targets for these platforms (Toffee BDT 5bn, MyBL 20mn MAU) are aggressive relative to current actuals and should not be presented to investors without caveats.</t>
  </si>
  <si>
    <t>Management Guidance Tracker</t>
  </si>
  <si>
    <t>OVERALL READINESS ASSESSMENT</t>
  </si>
  <si>
    <t>CONDITIONAL / NOT YET READY TO FILE. Consistent with the Advisory Memorandum's central recommendation: proceed to prepare (close the sub-segment disclosure gap, confirm deal structure, resolve the management strategic-continuity question), while deferring pricing until a second confirmed year of turnaround evidence is available.</t>
  </si>
  <si>
    <t>BANGLALINK IPO — BOARD DASHBOARD</t>
  </si>
  <si>
    <t>Prepared for Banglalink CEO/CFO and VEON Board — live-linked, refresh automatically on any assumption change</t>
  </si>
  <si>
    <t>FY2024 -&gt; FY2025 TURNAROUND (VEON-DISCLOSED ACTUALS)</t>
  </si>
  <si>
    <t>YoY</t>
  </si>
  <si>
    <t>VALUATION SUMMARY</t>
  </si>
  <si>
    <t>Implied Enterprise Value range (USD mn)</t>
  </si>
  <si>
    <t>SCENARIO SUMMARY — FY2030E IMPLIED EV (USD mn)</t>
  </si>
  <si>
    <t>Implied EV</t>
  </si>
  <si>
    <t>TOP RISKS (FROM MEMORANDUM SECTION 12)</t>
  </si>
  <si>
    <t>1. Fiscal policy volatility (VAT/duty on telecom sector) — Critical</t>
  </si>
  <si>
    <t>2. Execution/timing — confirming FY2025 turnaround is structural, not a one-year effect — High</t>
  </si>
  <si>
    <t>3. Sub-segment disclosure gap (net debt, working capital, tax detail) — High</t>
  </si>
  <si>
    <t>DATA ROOM READINESS STATUS</t>
  </si>
  <si>
    <t>Items Disclosed</t>
  </si>
  <si>
    <t>Items Partial</t>
  </si>
  <si>
    <t>Items Missing (blocking)</t>
  </si>
  <si>
    <t>MANAGEMENT 2027 AMBITION vs. ACTUAL / MODEL FORECAST</t>
  </si>
  <si>
    <t>2027 Ambition (management, Jul-2024)</t>
  </si>
  <si>
    <t>Target</t>
  </si>
  <si>
    <t>FY2025A Actual</t>
  </si>
  <si>
    <t>15-18% CAGR</t>
  </si>
  <si>
    <t>-6.4% YoY (FY24-&gt;FY25)</t>
  </si>
  <si>
    <t>&gt;45%</t>
  </si>
  <si>
    <t>49.2% — already exceeded</t>
  </si>
  <si>
    <t>20%</t>
  </si>
  <si>
    <t>5.4%</t>
  </si>
  <si>
    <t>EFCF</t>
  </si>
  <si>
    <t>&gt;USD 100mn/yr</t>
  </si>
  <si>
    <t>n/d at segment level (different metric basis — see Free Cash Flow tab)</t>
  </si>
  <si>
    <t>MyBL MAU</t>
  </si>
  <si>
    <t>20mn</t>
  </si>
  <si>
    <t>8.1mn</t>
  </si>
  <si>
    <t>Toffee revenue</t>
  </si>
  <si>
    <t>BDT 5bn</t>
  </si>
  <si>
    <t>n/d standalone (combined digital segment = BDT 3.0bn)</t>
  </si>
  <si>
    <t>Detail: 'Management Guidance Tracker' tab. Readiness synthesis: 'IPO Readiness Scorecard' tab.</t>
  </si>
  <si>
    <t>AUDIT CHECKS</t>
  </si>
  <si>
    <t>Run before every distribution of this model — this tab is the terminal diagnostic, not a presentation tab</t>
  </si>
  <si>
    <t>Check</t>
  </si>
  <si>
    <t>Result</t>
  </si>
  <si>
    <t>Pass?</t>
  </si>
  <si>
    <t>Revenue Build FY2025A ties to Source Data actual</t>
  </si>
  <si>
    <t>Operating Drivers 4G users FY2025A ties to VEON-disclosed 18.4mn (within rounding)</t>
  </si>
  <si>
    <t>Small gap expected: 34.4mn customers x 53.3% penetration = 18.34mn vs. VEON's directly-disclosed 18.4mn — the two source metrics (total customer base vs. 3-month-active 4G users) are measured on slightly different bases in VEON's own disclosure.</t>
  </si>
  <si>
    <t>EBITDA Build FY2025A ties to Source Data actual (BDT 27.5bn)</t>
  </si>
  <si>
    <t>Assumptions Active column responds to scenario toggle (Base check)</t>
  </si>
  <si>
    <t>WACC within plausible range (7%-16%)</t>
  </si>
  <si>
    <t>Football Field low &lt;= high</t>
  </si>
  <si>
    <t>Data Room Tracker — blocking items still flagged as PENDING (expected TRUE pre-data-room)</t>
  </si>
  <si>
    <t>OVERALL STATUS</t>
  </si>
  <si>
    <t>Model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</si>
</sst>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;\(0.0%\);&quot;-&quot;"/>
    <numFmt numFmtId="165" formatCode="#,##0.0"/>
    <numFmt numFmtId="166" formatCode="#,##0;\(#,##0\);&quot;-&quot;"/>
    <numFmt numFmtId="167" formatCode="0.00&quot;x&quot;"/>
    <numFmt numFmtId="168" formatCode="#,##0.0;\(#,##0.0\);&quot;-&quot;"/>
    <numFmt numFmtId="169" formatCode="0.00%;\(0.00%\);&quot;-&quot;"/>
    <numFmt numFmtId="170" formatCode="0.0"/>
    <numFmt numFmtId="171" formatCode="0.000"/>
  </numFmts>
  <fonts count="2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i/>
      <sz val="9"/>
      <color rgb="FF595959"/>
      <name val="Arial"/>
    </font>
    <font>
      <sz val="9"/>
      <name val="Arial"/>
    </font>
    <font>
      <b/>
      <sz val="10"/>
      <color rgb="FF9C5700"/>
      <name val="Arial"/>
    </font>
    <font>
      <b/>
      <sz val="10"/>
      <color rgb="FFC00000"/>
      <name val="Arial"/>
    </font>
    <font>
      <b/>
      <sz val="11"/>
      <name val="Arial"/>
    </font>
    <font>
      <b/>
      <sz val="11"/>
      <color rgb="FF0000FF"/>
      <name val="Arial"/>
    </font>
    <font>
      <i/>
      <sz val="8"/>
      <color rgb="FF595959"/>
      <name val="Arial"/>
    </font>
    <font>
      <sz val="10"/>
      <color rgb="FF0000FF"/>
      <name val="Arial"/>
    </font>
    <font>
      <i/>
      <sz val="8"/>
      <color rgb="FF9C5700"/>
      <name val="Arial"/>
    </font>
    <font>
      <i/>
      <sz val="8"/>
      <color rgb="FFC00000"/>
      <name val="Arial"/>
    </font>
    <font>
      <i/>
      <sz val="10"/>
      <color rgb="FF808080"/>
      <name val="Arial"/>
    </font>
    <font>
      <sz val="10"/>
      <color rgb="FF008000"/>
      <name val="Arial"/>
    </font>
    <font>
      <b/>
      <sz val="10"/>
      <name val="Arial"/>
    </font>
    <font>
      <i/>
      <sz val="9"/>
      <color rgb="FF1F3864"/>
      <name val="Arial"/>
    </font>
    <font>
      <b/>
      <i/>
      <sz val="10"/>
      <color rgb="FF0B1622"/>
      <name val="Arial"/>
    </font>
    <font>
      <b/>
      <sz val="11"/>
      <color rgb="FF0B1622"/>
      <name val="Arial"/>
    </font>
    <font>
      <i/>
      <sz val="9"/>
      <color rgb="FF9C5700"/>
      <name val="Arial"/>
    </font>
    <font>
      <b/>
      <i/>
      <sz val="9"/>
      <color rgb="FF0B1622"/>
      <name val="Arial"/>
    </font>
  </fonts>
  <fills count="15">
    <fill>
      <patternFill patternType="none"/>
    </fill>
    <fill>
      <patternFill patternType="gray125"/>
    </fill>
    <fill>
      <patternFill patternType="solid">
        <fgColor rgb="FF0B1622"/>
      </patternFill>
    </fill>
    <fill>
      <patternFill patternType="solid">
        <fgColor rgb="FF44576B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DF1E6"/>
      </patternFill>
    </fill>
    <fill>
      <patternFill patternType="solid">
        <fgColor rgb="FFFCE4E4"/>
      </patternFill>
    </fill>
    <fill>
      <patternFill patternType="solid">
        <fgColor rgb="FFFFFF00"/>
      </patternFill>
    </fill>
    <fill>
      <patternFill patternType="solid">
        <fgColor rgb="FFF2F3F4"/>
      </patternFill>
    </fill>
    <fill>
      <patternFill patternType="solid">
        <fgColor rgb="FFD9D9D9"/>
      </patternFill>
    </fill>
    <fill>
      <patternFill patternType="solid">
        <fgColor rgb="FFC00000"/>
      </patternFill>
    </fill>
    <fill>
      <patternFill patternType="solid">
        <fgColor rgb="FF3FA66B"/>
      </patternFill>
    </fill>
    <fill>
      <patternFill patternType="solid">
        <fgColor rgb="FFC75B12"/>
      </patternFill>
    </fill>
    <fill>
      <patternFill patternType="solid">
        <fgColor rgb="FF80808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7" fillId="0" borderId="0" xfId="0" applyFont="1"/>
    <xf numFmtId="0" fontId="3" fillId="5" borderId="1" xfId="0" applyFont="1" applyFill="1" applyBorder="1"/>
    <xf numFmtId="0" fontId="9" fillId="0" borderId="1" xfId="0" applyFont="1" applyBorder="1" applyAlignment="1">
      <alignment wrapText="1"/>
    </xf>
    <xf numFmtId="0" fontId="10" fillId="6" borderId="1" xfId="0" applyFont="1" applyFill="1" applyBorder="1"/>
    <xf numFmtId="0" fontId="11" fillId="7" borderId="1" xfId="0" applyFont="1" applyFill="1" applyBorder="1"/>
    <xf numFmtId="0" fontId="12" fillId="0" borderId="0" xfId="0" applyFont="1"/>
    <xf numFmtId="0" fontId="13" fillId="8" borderId="0" xfId="0" applyFont="1" applyFill="1" applyAlignment="1">
      <alignment horizontal="center"/>
    </xf>
    <xf numFmtId="4" fontId="15" fillId="0" borderId="1" xfId="0" applyNumberFormat="1" applyFont="1" applyBorder="1"/>
    <xf numFmtId="4" fontId="4" fillId="9" borderId="1" xfId="0" applyNumberFormat="1" applyFont="1" applyFill="1" applyBorder="1"/>
    <xf numFmtId="0" fontId="14" fillId="0" borderId="1" xfId="0" applyFont="1" applyBorder="1" applyAlignment="1">
      <alignment wrapText="1"/>
    </xf>
    <xf numFmtId="164" fontId="15" fillId="0" borderId="1" xfId="0" applyNumberFormat="1" applyFont="1" applyBorder="1"/>
    <xf numFmtId="164" fontId="4" fillId="9" borderId="1" xfId="0" applyNumberFormat="1" applyFont="1" applyFill="1" applyBorder="1"/>
    <xf numFmtId="165" fontId="15" fillId="0" borderId="1" xfId="0" applyNumberFormat="1" applyFont="1" applyBorder="1"/>
    <xf numFmtId="165" fontId="4" fillId="9" borderId="1" xfId="0" applyNumberFormat="1" applyFont="1" applyFill="1" applyBorder="1"/>
    <xf numFmtId="166" fontId="15" fillId="0" borderId="1" xfId="0" applyNumberFormat="1" applyFont="1" applyBorder="1"/>
    <xf numFmtId="166" fontId="4" fillId="9" borderId="1" xfId="0" applyNumberFormat="1" applyFont="1" applyFill="1" applyBorder="1"/>
    <xf numFmtId="167" fontId="15" fillId="0" borderId="1" xfId="0" applyNumberFormat="1" applyFont="1" applyBorder="1"/>
    <xf numFmtId="167" fontId="4" fillId="9" borderId="1" xfId="0" applyNumberFormat="1" applyFont="1" applyFill="1" applyBorder="1"/>
    <xf numFmtId="0" fontId="0" fillId="0" borderId="1" xfId="0" applyBorder="1"/>
    <xf numFmtId="0" fontId="16" fillId="0" borderId="1" xfId="0" applyFont="1" applyBorder="1"/>
    <xf numFmtId="168" fontId="15" fillId="0" borderId="1" xfId="0" applyNumberFormat="1" applyFont="1" applyBorder="1"/>
    <xf numFmtId="164" fontId="4" fillId="0" borderId="1" xfId="0" applyNumberFormat="1" applyFont="1" applyBorder="1"/>
    <xf numFmtId="0" fontId="14" fillId="0" borderId="1" xfId="0" applyFont="1" applyBorder="1"/>
    <xf numFmtId="0" fontId="17" fillId="0" borderId="1" xfId="0" applyFont="1" applyBorder="1" applyAlignment="1">
      <alignment wrapText="1"/>
    </xf>
    <xf numFmtId="0" fontId="18" fillId="0" borderId="1" xfId="0" applyFont="1" applyBorder="1"/>
    <xf numFmtId="0" fontId="15" fillId="0" borderId="1" xfId="0" applyFont="1" applyBorder="1"/>
    <xf numFmtId="167" fontId="4" fillId="0" borderId="1" xfId="0" applyNumberFormat="1" applyFont="1" applyBorder="1"/>
    <xf numFmtId="0" fontId="16" fillId="0" borderId="1" xfId="0" applyFont="1" applyBorder="1" applyAlignment="1">
      <alignment wrapText="1"/>
    </xf>
    <xf numFmtId="165" fontId="19" fillId="0" borderId="1" xfId="0" applyNumberFormat="1" applyFont="1" applyBorder="1"/>
    <xf numFmtId="165" fontId="4" fillId="0" borderId="1" xfId="0" applyNumberFormat="1" applyFont="1" applyBorder="1"/>
    <xf numFmtId="164" fontId="19" fillId="0" borderId="1" xfId="0" applyNumberFormat="1" applyFont="1" applyBorder="1"/>
    <xf numFmtId="168" fontId="19" fillId="0" borderId="1" xfId="0" applyNumberFormat="1" applyFont="1" applyBorder="1"/>
    <xf numFmtId="4" fontId="4" fillId="0" borderId="1" xfId="0" applyNumberFormat="1" applyFont="1" applyBorder="1"/>
    <xf numFmtId="168" fontId="4" fillId="0" borderId="1" xfId="0" applyNumberFormat="1" applyFont="1" applyBorder="1"/>
    <xf numFmtId="0" fontId="3" fillId="0" borderId="1" xfId="0" applyFont="1" applyBorder="1"/>
    <xf numFmtId="168" fontId="20" fillId="9" borderId="1" xfId="0" applyNumberFormat="1" applyFont="1" applyFill="1" applyBorder="1"/>
    <xf numFmtId="166" fontId="4" fillId="0" borderId="1" xfId="0" applyNumberFormat="1" applyFont="1" applyBorder="1"/>
    <xf numFmtId="168" fontId="19" fillId="9" borderId="1" xfId="0" applyNumberFormat="1" applyFont="1" applyFill="1" applyBorder="1"/>
    <xf numFmtId="168" fontId="10" fillId="0" borderId="1" xfId="0" applyNumberFormat="1" applyFont="1" applyBorder="1"/>
    <xf numFmtId="169" fontId="19" fillId="0" borderId="1" xfId="0" applyNumberFormat="1" applyFont="1" applyBorder="1"/>
    <xf numFmtId="167" fontId="19" fillId="0" borderId="1" xfId="0" applyNumberFormat="1" applyFont="1" applyBorder="1"/>
    <xf numFmtId="169" fontId="20" fillId="9" borderId="1" xfId="0" applyNumberFormat="1" applyFont="1" applyFill="1" applyBorder="1"/>
    <xf numFmtId="169" fontId="4" fillId="0" borderId="1" xfId="0" applyNumberFormat="1" applyFont="1" applyBorder="1"/>
    <xf numFmtId="169" fontId="12" fillId="5" borderId="1" xfId="0" applyNumberFormat="1" applyFont="1" applyFill="1" applyBorder="1"/>
    <xf numFmtId="166" fontId="19" fillId="0" borderId="1" xfId="0" applyNumberFormat="1" applyFont="1" applyBorder="1"/>
    <xf numFmtId="170" fontId="4" fillId="0" borderId="1" xfId="0" applyNumberFormat="1" applyFont="1" applyBorder="1"/>
    <xf numFmtId="171" fontId="4" fillId="0" borderId="1" xfId="0" applyNumberFormat="1" applyFont="1" applyBorder="1"/>
    <xf numFmtId="166" fontId="12" fillId="10" borderId="1" xfId="0" applyNumberFormat="1" applyFont="1" applyFill="1" applyBorder="1"/>
    <xf numFmtId="166" fontId="20" fillId="9" borderId="1" xfId="0" applyNumberFormat="1" applyFont="1" applyFill="1" applyBorder="1"/>
    <xf numFmtId="166" fontId="12" fillId="9" borderId="1" xfId="0" applyNumberFormat="1" applyFont="1" applyFill="1" applyBorder="1"/>
    <xf numFmtId="166" fontId="12" fillId="5" borderId="1" xfId="0" applyNumberFormat="1" applyFont="1" applyFill="1" applyBorder="1"/>
    <xf numFmtId="167" fontId="6" fillId="4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64" fontId="3" fillId="0" borderId="1" xfId="0" applyNumberFormat="1" applyFont="1" applyBorder="1"/>
    <xf numFmtId="166" fontId="19" fillId="10" borderId="1" xfId="0" applyNumberFormat="1" applyFont="1" applyFill="1" applyBorder="1"/>
    <xf numFmtId="0" fontId="17" fillId="0" borderId="1" xfId="0" applyFont="1" applyBorder="1"/>
    <xf numFmtId="166" fontId="19" fillId="5" borderId="1" xfId="0" applyNumberFormat="1" applyFont="1" applyFill="1" applyBorder="1"/>
    <xf numFmtId="0" fontId="19" fillId="0" borderId="1" xfId="0" applyFont="1" applyBorder="1"/>
    <xf numFmtId="0" fontId="15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6" fillId="11" borderId="1" xfId="0" applyFont="1" applyFill="1" applyBorder="1" applyAlignment="1">
      <alignment horizontal="center"/>
    </xf>
    <xf numFmtId="0" fontId="21" fillId="0" borderId="1" xfId="0" applyFont="1" applyBorder="1" applyAlignment="1">
      <alignment wrapText="1"/>
    </xf>
    <xf numFmtId="0" fontId="6" fillId="1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10" fillId="0" borderId="1" xfId="0" applyFont="1" applyBorder="1"/>
    <xf numFmtId="0" fontId="5" fillId="3" borderId="0" xfId="0" applyFont="1" applyFill="1" applyAlignment="1">
      <alignment horizontal="left" vertical="center" indent="1"/>
    </xf>
    <xf numFmtId="0" fontId="0" fillId="0" borderId="0" xfId="0"/>
    <xf numFmtId="0" fontId="7" fillId="0" borderId="0" xfId="0" applyFont="1"/>
    <xf numFmtId="0" fontId="8" fillId="0" borderId="0" xfId="0" applyFont="1" applyAlignment="1">
      <alignment wrapTex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0" borderId="4" xfId="0" applyBorder="1"/>
    <xf numFmtId="0" fontId="0" fillId="0" borderId="5" xfId="0" applyBorder="1"/>
    <xf numFmtId="0" fontId="11" fillId="7" borderId="0" xfId="0" applyFont="1" applyFill="1" applyAlignment="1">
      <alignment vertical="center" wrapText="1"/>
    </xf>
    <xf numFmtId="0" fontId="22" fillId="0" borderId="0" xfId="0" applyFont="1" applyAlignment="1">
      <alignment wrapText="1"/>
    </xf>
    <xf numFmtId="0" fontId="10" fillId="6" borderId="1" xfId="0" applyFont="1" applyFill="1" applyBorder="1"/>
    <xf numFmtId="0" fontId="0" fillId="0" borderId="2" xfId="0" applyBorder="1"/>
    <xf numFmtId="0" fontId="0" fillId="0" borderId="3" xfId="0" applyBorder="1"/>
    <xf numFmtId="0" fontId="21" fillId="0" borderId="1" xfId="0" applyFont="1" applyBorder="1" applyAlignment="1">
      <alignment wrapText="1"/>
    </xf>
    <xf numFmtId="0" fontId="24" fillId="0" borderId="0" xfId="0" applyFont="1"/>
    <xf numFmtId="167" fontId="15" fillId="0" borderId="1" xfId="0" applyNumberFormat="1" applyFont="1" applyBorder="1"/>
    <xf numFmtId="0" fontId="16" fillId="0" borderId="0" xfId="0" applyFont="1" applyAlignment="1">
      <alignment wrapText="1"/>
    </xf>
    <xf numFmtId="0" fontId="24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5" fillId="0" borderId="1" xfId="0" applyFont="1" applyBorder="1"/>
    <xf numFmtId="0" fontId="11" fillId="7" borderId="0" xfId="0" applyFont="1" applyFill="1" applyAlignment="1">
      <alignment horizontal="left" indent="1"/>
    </xf>
    <xf numFmtId="169" fontId="19" fillId="0" borderId="1" xfId="0" applyNumberFormat="1" applyFont="1" applyBorder="1"/>
    <xf numFmtId="166" fontId="19" fillId="0" borderId="1" xfId="0" applyNumberFormat="1" applyFont="1" applyBorder="1"/>
    <xf numFmtId="0" fontId="25" fillId="0" borderId="0" xfId="0" applyFont="1" applyAlignment="1">
      <alignment wrapText="1"/>
    </xf>
    <xf numFmtId="0" fontId="18" fillId="0" borderId="1" xfId="0" applyFont="1" applyBorder="1" applyAlignment="1">
      <alignment wrapText="1"/>
    </xf>
    <xf numFmtId="0" fontId="23" fillId="6" borderId="0" xfId="0" applyFont="1" applyFill="1" applyAlignment="1">
      <alignment vertical="center" wrapText="1"/>
    </xf>
    <xf numFmtId="0" fontId="4" fillId="0" borderId="0" xfId="0" applyFont="1"/>
    <xf numFmtId="0" fontId="8" fillId="0" borderId="0" xfId="0" applyFont="1"/>
    <xf numFmtId="0" fontId="12" fillId="0" borderId="0" xfId="0" applyFon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Banglalink — Valuation Football Field (USD mn EV)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noFill/>
            <a:ln>
              <a:prstDash val="solid"/>
            </a:ln>
          </c:spPr>
          <c:invertIfNegative val="1"/>
          <c:cat>
            <c:strRef>
              <c:f>'Football Field'!$B$5:$B$9</c:f>
              <c:strCache>
                <c:ptCount val="5"/>
                <c:pt idx="0">
                  <c:v>Trading Comps — EV/EBITDA (GP-based)</c:v>
                </c:pt>
                <c:pt idx="1">
                  <c:v>Trading Comps — EV/EBITDA (Robi-based)</c:v>
                </c:pt>
                <c:pt idx="2">
                  <c:v>Trading Comps — EV/Revenue cross-check</c:v>
                </c:pt>
                <c:pt idx="3">
                  <c:v>Scenario-based (Bear-to-Bull, FY2030E EV)</c:v>
                </c:pt>
                <c:pt idx="4">
                  <c:v>DCF (INACTIVE — pending business plan)</c:v>
                </c:pt>
              </c:strCache>
            </c:strRef>
          </c:cat>
          <c:val>
            <c:numRef>
              <c:f>'Football Field'!$C$5:$C$9</c:f>
              <c:numCache>
                <c:formatCode>#,##0;\(#,##0\);"-"</c:formatCode>
                <c:ptCount val="5"/>
                <c:pt idx="0">
                  <c:v>925.32867707477408</c:v>
                </c:pt>
                <c:pt idx="1">
                  <c:v>710.09654889071487</c:v>
                </c:pt>
                <c:pt idx="2">
                  <c:v>625.44996139283091</c:v>
                </c:pt>
                <c:pt idx="3">
                  <c:v>692.1333610057369</c:v>
                </c:pt>
                <c:pt idx="4">
                  <c:v>1317.7717024050194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9-4C6E-87C3-58C679D548AF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'Football Field'!$B$5:$B$9</c:f>
              <c:strCache>
                <c:ptCount val="5"/>
                <c:pt idx="0">
                  <c:v>Trading Comps — EV/EBITDA (GP-based)</c:v>
                </c:pt>
                <c:pt idx="1">
                  <c:v>Trading Comps — EV/EBITDA (Robi-based)</c:v>
                </c:pt>
                <c:pt idx="2">
                  <c:v>Trading Comps — EV/Revenue cross-check</c:v>
                </c:pt>
                <c:pt idx="3">
                  <c:v>Scenario-based (Bear-to-Bull, FY2030E EV)</c:v>
                </c:pt>
                <c:pt idx="4">
                  <c:v>DCF (INACTIVE — pending business plan)</c:v>
                </c:pt>
              </c:strCache>
            </c:strRef>
          </c:cat>
          <c:val>
            <c:numRef>
              <c:f>'Football Field'!$D$5:$D$9</c:f>
              <c:numCache>
                <c:formatCode>#,##0;\(#,##0\);"-"</c:formatCode>
                <c:ptCount val="5"/>
                <c:pt idx="0">
                  <c:v>1064.1279786359901</c:v>
                </c:pt>
                <c:pt idx="1">
                  <c:v>816.61103122432201</c:v>
                </c:pt>
                <c:pt idx="2">
                  <c:v>764.43884170234901</c:v>
                </c:pt>
                <c:pt idx="3">
                  <c:v>1771.9069304766383</c:v>
                </c:pt>
                <c:pt idx="4">
                  <c:v>1782.8675973714967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9-4C6E-87C3-58C679D54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Enterprise Value (USD mn)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;\(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>
      <selection activeCell="I15" sqref="I15"/>
    </sheetView>
  </sheetViews>
  <sheetFormatPr defaultRowHeight="15" x14ac:dyDescent="0.25"/>
  <cols>
    <col min="1" max="1" width="3" customWidth="1"/>
    <col min="2" max="2" width="32" customWidth="1"/>
    <col min="3" max="3" width="40" customWidth="1"/>
    <col min="4" max="5" width="20" customWidth="1"/>
    <col min="6" max="8" width="14" customWidth="1"/>
  </cols>
  <sheetData>
    <row r="1" spans="1:8" ht="26.1" customHeight="1" x14ac:dyDescent="0.25">
      <c r="A1" s="78" t="s">
        <v>0</v>
      </c>
      <c r="B1" s="74"/>
      <c r="C1" s="74"/>
      <c r="D1" s="74"/>
      <c r="E1" s="74"/>
      <c r="F1" s="74"/>
      <c r="G1" s="74"/>
      <c r="H1" s="74"/>
    </row>
    <row r="2" spans="1:8" ht="18" customHeight="1" x14ac:dyDescent="0.25">
      <c r="A2" s="77" t="s">
        <v>1</v>
      </c>
      <c r="B2" s="74"/>
      <c r="C2" s="74"/>
      <c r="D2" s="74"/>
      <c r="E2" s="74"/>
      <c r="F2" s="74"/>
      <c r="G2" s="74"/>
      <c r="H2" s="74"/>
    </row>
    <row r="4" spans="1:8" x14ac:dyDescent="0.25">
      <c r="B4" s="1" t="s">
        <v>2</v>
      </c>
      <c r="C4" s="2" t="s">
        <v>3</v>
      </c>
    </row>
    <row r="5" spans="1:8" x14ac:dyDescent="0.25">
      <c r="B5" s="1" t="s">
        <v>4</v>
      </c>
      <c r="C5" s="2" t="s">
        <v>5</v>
      </c>
    </row>
    <row r="6" spans="1:8" x14ac:dyDescent="0.25">
      <c r="B6" s="1" t="s">
        <v>6</v>
      </c>
      <c r="C6" s="2" t="s">
        <v>7</v>
      </c>
    </row>
    <row r="7" spans="1:8" x14ac:dyDescent="0.25">
      <c r="B7" s="1" t="s">
        <v>8</v>
      </c>
      <c r="C7" s="2" t="s">
        <v>9</v>
      </c>
    </row>
    <row r="9" spans="1:8" ht="15.95" customHeight="1" x14ac:dyDescent="0.25">
      <c r="A9" s="73" t="s">
        <v>10</v>
      </c>
      <c r="B9" s="74"/>
      <c r="C9" s="74"/>
      <c r="D9" s="74"/>
      <c r="E9" s="74"/>
      <c r="F9" s="74"/>
      <c r="G9" s="74"/>
      <c r="H9" s="74"/>
    </row>
    <row r="10" spans="1:8" ht="25.5" x14ac:dyDescent="0.25">
      <c r="B10" s="4" t="s">
        <v>11</v>
      </c>
      <c r="C10" s="4" t="s">
        <v>12</v>
      </c>
      <c r="D10" s="4" t="s">
        <v>13</v>
      </c>
      <c r="E10" s="4" t="s">
        <v>14</v>
      </c>
    </row>
    <row r="11" spans="1:8" x14ac:dyDescent="0.25">
      <c r="B11" s="5" t="s">
        <v>15</v>
      </c>
      <c r="C11" s="5" t="s">
        <v>9</v>
      </c>
      <c r="D11" s="5" t="s">
        <v>16</v>
      </c>
      <c r="E11" s="5" t="s">
        <v>17</v>
      </c>
    </row>
    <row r="12" spans="1:8" ht="230.25" x14ac:dyDescent="0.25">
      <c r="B12" s="5" t="s">
        <v>18</v>
      </c>
      <c r="C12" s="5" t="s">
        <v>19</v>
      </c>
      <c r="D12" s="5" t="s">
        <v>16</v>
      </c>
      <c r="E12" s="71" t="s">
        <v>20</v>
      </c>
    </row>
    <row r="13" spans="1:8" ht="15.95" customHeight="1" x14ac:dyDescent="0.25">
      <c r="A13" s="74"/>
      <c r="B13" s="74"/>
      <c r="C13" s="74"/>
      <c r="D13" s="74"/>
      <c r="E13" s="74"/>
      <c r="F13" s="74"/>
      <c r="G13" s="74"/>
      <c r="H13" s="74"/>
    </row>
    <row r="14" spans="1:8" x14ac:dyDescent="0.25">
      <c r="A14" s="3" t="s">
        <v>21</v>
      </c>
    </row>
    <row r="15" spans="1:8" x14ac:dyDescent="0.25">
      <c r="B15" s="6" t="s">
        <v>22</v>
      </c>
    </row>
    <row r="16" spans="1:8" x14ac:dyDescent="0.25">
      <c r="B16" s="6" t="s">
        <v>23</v>
      </c>
    </row>
    <row r="17" spans="2:2" x14ac:dyDescent="0.25">
      <c r="B17" s="6" t="s">
        <v>24</v>
      </c>
    </row>
    <row r="18" spans="2:2" x14ac:dyDescent="0.25">
      <c r="B18" s="6" t="s">
        <v>25</v>
      </c>
    </row>
    <row r="19" spans="2:2" x14ac:dyDescent="0.25">
      <c r="B19" s="6" t="s">
        <v>26</v>
      </c>
    </row>
    <row r="20" spans="2:2" x14ac:dyDescent="0.25">
      <c r="B20" s="6" t="s">
        <v>27</v>
      </c>
    </row>
    <row r="21" spans="2:2" x14ac:dyDescent="0.25">
      <c r="B21" s="6" t="s">
        <v>28</v>
      </c>
    </row>
    <row r="22" spans="2:2" x14ac:dyDescent="0.25">
      <c r="B22" s="6" t="s">
        <v>29</v>
      </c>
    </row>
    <row r="23" spans="2:2" x14ac:dyDescent="0.25">
      <c r="B23" s="6" t="s">
        <v>30</v>
      </c>
    </row>
    <row r="24" spans="2:2" x14ac:dyDescent="0.25">
      <c r="B24" s="6" t="s">
        <v>31</v>
      </c>
    </row>
    <row r="25" spans="2:2" x14ac:dyDescent="0.25">
      <c r="B25" s="6" t="s">
        <v>32</v>
      </c>
    </row>
    <row r="26" spans="2:2" x14ac:dyDescent="0.25">
      <c r="B26" s="6" t="s">
        <v>33</v>
      </c>
    </row>
    <row r="27" spans="2:2" x14ac:dyDescent="0.25">
      <c r="B27" s="6" t="s">
        <v>34</v>
      </c>
    </row>
    <row r="28" spans="2:2" x14ac:dyDescent="0.25">
      <c r="B28" s="6" t="s">
        <v>35</v>
      </c>
    </row>
    <row r="29" spans="2:2" x14ac:dyDescent="0.25">
      <c r="B29" s="6" t="s">
        <v>36</v>
      </c>
    </row>
    <row r="30" spans="2:2" x14ac:dyDescent="0.25">
      <c r="B30" s="6" t="s">
        <v>37</v>
      </c>
    </row>
    <row r="31" spans="2:2" x14ac:dyDescent="0.25">
      <c r="B31" s="6" t="s">
        <v>38</v>
      </c>
    </row>
    <row r="32" spans="2:2" x14ac:dyDescent="0.25">
      <c r="B32" s="6" t="s">
        <v>39</v>
      </c>
    </row>
    <row r="33" spans="2:7" x14ac:dyDescent="0.25">
      <c r="B33" s="6" t="s">
        <v>40</v>
      </c>
    </row>
    <row r="34" spans="2:7" x14ac:dyDescent="0.25">
      <c r="B34" s="6" t="s">
        <v>41</v>
      </c>
    </row>
    <row r="35" spans="2:7" x14ac:dyDescent="0.25">
      <c r="B35" s="75" t="s">
        <v>42</v>
      </c>
      <c r="C35" s="74"/>
      <c r="D35" s="74"/>
      <c r="E35" s="74"/>
      <c r="F35" s="74"/>
      <c r="G35" s="74"/>
    </row>
    <row r="36" spans="2:7" x14ac:dyDescent="0.25">
      <c r="B36" s="76" t="s">
        <v>43</v>
      </c>
      <c r="C36" s="74"/>
      <c r="D36" s="74"/>
      <c r="E36" s="74"/>
      <c r="F36" s="74"/>
      <c r="G36" s="74"/>
    </row>
    <row r="37" spans="2:7" x14ac:dyDescent="0.25">
      <c r="B37" s="74"/>
      <c r="C37" s="74"/>
      <c r="D37" s="74"/>
      <c r="E37" s="74"/>
      <c r="F37" s="74"/>
      <c r="G37" s="74"/>
    </row>
    <row r="38" spans="2:7" x14ac:dyDescent="0.25">
      <c r="B38" s="74"/>
      <c r="C38" s="74"/>
      <c r="D38" s="74"/>
      <c r="E38" s="74"/>
      <c r="F38" s="74"/>
      <c r="G38" s="74"/>
    </row>
  </sheetData>
  <mergeCells count="5">
    <mergeCell ref="A9:H9"/>
    <mergeCell ref="B35:G38"/>
    <mergeCell ref="A2:H2"/>
    <mergeCell ref="A13:H13"/>
    <mergeCell ref="A1:H1"/>
  </mergeCells>
  <hyperlinks>
    <hyperlink ref="B14" location="'Data Room Tracker'!A1" display="'Data Room Tracker'!A1" xr:uid="{00000000-0004-0000-0000-000000000000}"/>
    <hyperlink ref="B15" location="'Management Guidance Tracker'!A1" display="01.  Data Room Tracker" xr:uid="{00000000-0004-0000-0000-000001000000}"/>
    <hyperlink ref="B16" location="'Assumptions'!A1" display="02.  Management Guidance Tracker" xr:uid="{00000000-0004-0000-0000-000002000000}"/>
    <hyperlink ref="B17" location="'Source Data'!A1" display="03.  Assumptions" xr:uid="{00000000-0004-0000-0000-000003000000}"/>
    <hyperlink ref="B18" location="'Comparable Companies'!A1" display="04.  Source Data" xr:uid="{00000000-0004-0000-0000-000004000000}"/>
    <hyperlink ref="B19" location="'Operating Drivers'!A1" display="05.  Comparable Companies" xr:uid="{00000000-0004-0000-0000-000005000000}"/>
    <hyperlink ref="B20" location="'Subscriber &amp; ARPU Fcst'!A1" display="06.  Operating Drivers" xr:uid="{00000000-0004-0000-0000-000006000000}"/>
    <hyperlink ref="B21" location="'Revenue Build'!A1" display="07.  Subscriber &amp; ARPU Fcst" xr:uid="{00000000-0004-0000-0000-000007000000}"/>
    <hyperlink ref="B22" location="'EBITDA Build'!A1" display="08.  Revenue Build" xr:uid="{00000000-0004-0000-0000-000008000000}"/>
    <hyperlink ref="B23" location="'CapEx'!A1" display="09.  EBITDA Build" xr:uid="{00000000-0004-0000-0000-000009000000}"/>
    <hyperlink ref="B24" location="'Free Cash Flow'!A1" display="10.  CapEx" xr:uid="{00000000-0004-0000-0000-00000A000000}"/>
    <hyperlink ref="B25" location="'WACC'!A1" display="11.  Free Cash Flow" xr:uid="{00000000-0004-0000-0000-00000B000000}"/>
    <hyperlink ref="B26" location="'DCF Valuation'!A1" display="12.  WACC" xr:uid="{00000000-0004-0000-0000-00000C000000}"/>
    <hyperlink ref="B27" location="'Trading Multiples'!A1" display="13.  DCF Valuation" xr:uid="{00000000-0004-0000-0000-00000D000000}"/>
    <hyperlink ref="B28" location="'Scenario Analysis'!A1" display="14.  Trading Multiples" xr:uid="{00000000-0004-0000-0000-00000E000000}"/>
    <hyperlink ref="B29" location="'Sensitivity Analysis'!A1" display="15.  Scenario Analysis" xr:uid="{00000000-0004-0000-0000-00000F000000}"/>
    <hyperlink ref="B30" location="'Football Field'!A1" display="16.  Sensitivity Analysis" xr:uid="{00000000-0004-0000-0000-000010000000}"/>
    <hyperlink ref="B31" location="'IPO Valuation Summary'!A1" display="17.  Football Field" xr:uid="{00000000-0004-0000-0000-000011000000}"/>
    <hyperlink ref="B32" location="'IPO Readiness Scorecard'!A1" display="18.  IPO Valuation Summary" xr:uid="{00000000-0004-0000-0000-000012000000}"/>
    <hyperlink ref="B33" location="'Dashboard'!A1" display="19.  IPO Readiness Scorecard" xr:uid="{00000000-0004-0000-0000-000013000000}"/>
    <hyperlink ref="B34" location="'Audit Checks'!A1" display="20.  Dashboard" xr:uid="{00000000-0004-0000-0000-00001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selection sqref="A1:F1"/>
    </sheetView>
  </sheetViews>
  <sheetFormatPr defaultRowHeight="15" x14ac:dyDescent="0.25"/>
  <cols>
    <col min="1" max="1" width="3" customWidth="1"/>
    <col min="2" max="2" width="30" customWidth="1"/>
    <col min="3" max="3" width="14" customWidth="1"/>
    <col min="4" max="4" width="40" customWidth="1"/>
    <col min="5" max="5" width="16" customWidth="1"/>
    <col min="6" max="6" width="30" customWidth="1"/>
  </cols>
  <sheetData>
    <row r="1" spans="1:6" ht="26.1" customHeight="1" x14ac:dyDescent="0.25">
      <c r="A1" s="78" t="s">
        <v>44</v>
      </c>
      <c r="B1" s="74"/>
      <c r="C1" s="74"/>
      <c r="D1" s="74"/>
      <c r="E1" s="74"/>
      <c r="F1" s="74"/>
    </row>
    <row r="2" spans="1:6" ht="18" customHeight="1" x14ac:dyDescent="0.25">
      <c r="A2" s="77" t="s">
        <v>45</v>
      </c>
      <c r="B2" s="74"/>
      <c r="C2" s="74"/>
      <c r="D2" s="74"/>
      <c r="E2" s="74"/>
      <c r="F2" s="74"/>
    </row>
    <row r="4" spans="1:6" x14ac:dyDescent="0.25"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</row>
    <row r="5" spans="1:6" ht="26.1" customHeight="1" x14ac:dyDescent="0.25">
      <c r="B5" s="5" t="s">
        <v>51</v>
      </c>
      <c r="C5" s="7" t="s">
        <v>52</v>
      </c>
      <c r="D5" s="8" t="s">
        <v>53</v>
      </c>
      <c r="E5" s="5" t="s">
        <v>54</v>
      </c>
      <c r="F5" s="5" t="s">
        <v>55</v>
      </c>
    </row>
    <row r="6" spans="1:6" ht="26.1" customHeight="1" x14ac:dyDescent="0.25">
      <c r="B6" s="5" t="s">
        <v>56</v>
      </c>
      <c r="C6" s="7" t="s">
        <v>52</v>
      </c>
      <c r="D6" s="8" t="s">
        <v>57</v>
      </c>
      <c r="E6" s="5" t="s">
        <v>54</v>
      </c>
      <c r="F6" s="5" t="s">
        <v>55</v>
      </c>
    </row>
    <row r="7" spans="1:6" ht="26.1" customHeight="1" x14ac:dyDescent="0.25">
      <c r="B7" s="5" t="s">
        <v>58</v>
      </c>
      <c r="C7" s="7" t="s">
        <v>52</v>
      </c>
      <c r="D7" s="8" t="s">
        <v>59</v>
      </c>
      <c r="E7" s="5" t="s">
        <v>54</v>
      </c>
      <c r="F7" s="5" t="s">
        <v>60</v>
      </c>
    </row>
    <row r="8" spans="1:6" ht="26.1" customHeight="1" x14ac:dyDescent="0.25">
      <c r="B8" s="5" t="s">
        <v>61</v>
      </c>
      <c r="C8" s="7" t="s">
        <v>52</v>
      </c>
      <c r="D8" s="8" t="s">
        <v>62</v>
      </c>
      <c r="E8" s="5" t="s">
        <v>54</v>
      </c>
      <c r="F8" s="5" t="s">
        <v>55</v>
      </c>
    </row>
    <row r="9" spans="1:6" ht="26.1" customHeight="1" x14ac:dyDescent="0.25">
      <c r="B9" s="5" t="s">
        <v>63</v>
      </c>
      <c r="C9" s="9" t="s">
        <v>64</v>
      </c>
      <c r="D9" s="8" t="s">
        <v>65</v>
      </c>
      <c r="E9" s="5" t="s">
        <v>54</v>
      </c>
      <c r="F9" s="5" t="s">
        <v>55</v>
      </c>
    </row>
    <row r="10" spans="1:6" ht="26.1" customHeight="1" x14ac:dyDescent="0.25">
      <c r="B10" s="5" t="s">
        <v>66</v>
      </c>
      <c r="C10" s="10" t="s">
        <v>67</v>
      </c>
      <c r="D10" s="8" t="s">
        <v>68</v>
      </c>
      <c r="E10" s="5" t="s">
        <v>69</v>
      </c>
      <c r="F10" s="5" t="s">
        <v>70</v>
      </c>
    </row>
    <row r="11" spans="1:6" ht="26.1" customHeight="1" x14ac:dyDescent="0.25">
      <c r="B11" s="5" t="s">
        <v>71</v>
      </c>
      <c r="C11" s="10" t="s">
        <v>67</v>
      </c>
      <c r="D11" s="8" t="s">
        <v>72</v>
      </c>
      <c r="E11" s="5" t="s">
        <v>69</v>
      </c>
      <c r="F11" s="5" t="s">
        <v>73</v>
      </c>
    </row>
    <row r="12" spans="1:6" ht="26.1" customHeight="1" x14ac:dyDescent="0.25">
      <c r="B12" s="5" t="s">
        <v>74</v>
      </c>
      <c r="C12" s="9" t="s">
        <v>75</v>
      </c>
      <c r="D12" s="8" t="s">
        <v>76</v>
      </c>
      <c r="E12" s="5" t="s">
        <v>54</v>
      </c>
      <c r="F12" s="5" t="s">
        <v>77</v>
      </c>
    </row>
    <row r="13" spans="1:6" ht="26.1" customHeight="1" x14ac:dyDescent="0.25">
      <c r="B13" s="5" t="s">
        <v>78</v>
      </c>
      <c r="C13" s="9" t="s">
        <v>75</v>
      </c>
      <c r="D13" s="8" t="s">
        <v>79</v>
      </c>
      <c r="E13" s="5" t="s">
        <v>54</v>
      </c>
      <c r="F13" s="5" t="s">
        <v>80</v>
      </c>
    </row>
    <row r="14" spans="1:6" ht="26.1" customHeight="1" x14ac:dyDescent="0.25">
      <c r="B14" s="5" t="s">
        <v>81</v>
      </c>
      <c r="C14" s="10" t="s">
        <v>67</v>
      </c>
      <c r="D14" s="8" t="s">
        <v>82</v>
      </c>
      <c r="E14" s="5" t="s">
        <v>69</v>
      </c>
      <c r="F14" s="5" t="s">
        <v>83</v>
      </c>
    </row>
    <row r="15" spans="1:6" ht="26.1" customHeight="1" x14ac:dyDescent="0.25">
      <c r="B15" s="5" t="s">
        <v>84</v>
      </c>
      <c r="C15" s="10" t="s">
        <v>67</v>
      </c>
      <c r="D15" s="8" t="s">
        <v>85</v>
      </c>
      <c r="E15" s="5" t="s">
        <v>69</v>
      </c>
      <c r="F15" s="5" t="s">
        <v>86</v>
      </c>
    </row>
    <row r="16" spans="1:6" ht="26.1" customHeight="1" x14ac:dyDescent="0.25">
      <c r="B16" s="5" t="s">
        <v>87</v>
      </c>
      <c r="C16" s="7" t="s">
        <v>52</v>
      </c>
      <c r="D16" s="8" t="s">
        <v>88</v>
      </c>
      <c r="E16" s="5" t="s">
        <v>54</v>
      </c>
      <c r="F16" s="5" t="s">
        <v>89</v>
      </c>
    </row>
    <row r="17" spans="1:6" ht="26.1" customHeight="1" x14ac:dyDescent="0.25">
      <c r="B17" s="5" t="s">
        <v>90</v>
      </c>
      <c r="C17" s="7" t="s">
        <v>52</v>
      </c>
      <c r="D17" s="8" t="s">
        <v>91</v>
      </c>
      <c r="E17" s="5" t="s">
        <v>54</v>
      </c>
      <c r="F17" s="5" t="s">
        <v>89</v>
      </c>
    </row>
    <row r="18" spans="1:6" ht="26.1" customHeight="1" x14ac:dyDescent="0.25">
      <c r="B18" s="5" t="s">
        <v>92</v>
      </c>
      <c r="C18" s="7" t="s">
        <v>52</v>
      </c>
      <c r="D18" s="8" t="s">
        <v>93</v>
      </c>
      <c r="E18" s="5" t="s">
        <v>54</v>
      </c>
      <c r="F18" s="5" t="s">
        <v>94</v>
      </c>
    </row>
    <row r="19" spans="1:6" ht="26.1" customHeight="1" x14ac:dyDescent="0.25">
      <c r="B19" s="5" t="s">
        <v>95</v>
      </c>
      <c r="C19" s="7" t="s">
        <v>52</v>
      </c>
      <c r="D19" s="8" t="s">
        <v>96</v>
      </c>
      <c r="E19" s="5" t="s">
        <v>54</v>
      </c>
      <c r="F19" s="5" t="s">
        <v>97</v>
      </c>
    </row>
    <row r="22" spans="1:6" ht="30" customHeight="1" x14ac:dyDescent="0.25">
      <c r="A22" s="79"/>
      <c r="B22" s="80"/>
      <c r="C22" s="80"/>
      <c r="D22" s="80"/>
      <c r="E22" s="80"/>
      <c r="F22" s="79"/>
    </row>
    <row r="23" spans="1:6" ht="30" customHeight="1" x14ac:dyDescent="0.25">
      <c r="B23" s="5" t="s">
        <v>98</v>
      </c>
      <c r="C23" s="9" t="s">
        <v>64</v>
      </c>
      <c r="D23" s="8" t="s">
        <v>99</v>
      </c>
      <c r="E23" s="5" t="s">
        <v>54</v>
      </c>
      <c r="F23" s="5" t="s">
        <v>100</v>
      </c>
    </row>
    <row r="24" spans="1:6" x14ac:dyDescent="0.25">
      <c r="A24" s="3" t="s">
        <v>101</v>
      </c>
    </row>
    <row r="25" spans="1:6" x14ac:dyDescent="0.25">
      <c r="B25" s="1" t="s">
        <v>102</v>
      </c>
      <c r="C25" s="2">
        <f>COUNTIF(C5:C20,"Disclosed")</f>
        <v>8</v>
      </c>
    </row>
    <row r="26" spans="1:6" x14ac:dyDescent="0.25">
      <c r="B26" s="1" t="s">
        <v>103</v>
      </c>
      <c r="C26" s="2">
        <f>COUNTIF(C5:C20,"PARTIAL")</f>
        <v>2</v>
      </c>
    </row>
    <row r="27" spans="1:6" x14ac:dyDescent="0.25">
      <c r="B27" s="1" t="s">
        <v>104</v>
      </c>
      <c r="C27" s="2">
        <f>COUNTIF(C5:C20,"MISSING")</f>
        <v>4</v>
      </c>
    </row>
    <row r="28" spans="1:6" x14ac:dyDescent="0.25">
      <c r="B28" s="1" t="s">
        <v>105</v>
      </c>
      <c r="C28" s="2">
        <f>COUNTIF(C5:C20,"Disclosed - reconcile")</f>
        <v>1</v>
      </c>
    </row>
  </sheetData>
  <mergeCells count="3">
    <mergeCell ref="A2:F2"/>
    <mergeCell ref="A22:F2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F7" sqref="F7"/>
    </sheetView>
  </sheetViews>
  <sheetFormatPr defaultRowHeight="15" x14ac:dyDescent="0.25"/>
  <cols>
    <col min="1" max="1" width="3" customWidth="1"/>
    <col min="2" max="2" width="26" customWidth="1"/>
    <col min="3" max="3" width="30" customWidth="1"/>
    <col min="4" max="4" width="20" customWidth="1"/>
    <col min="5" max="5" width="16" customWidth="1"/>
    <col min="6" max="6" width="34" customWidth="1"/>
  </cols>
  <sheetData>
    <row r="1" spans="1:6" ht="26.1" customHeight="1" x14ac:dyDescent="0.25">
      <c r="A1" s="78" t="s">
        <v>106</v>
      </c>
      <c r="B1" s="74"/>
      <c r="C1" s="74"/>
      <c r="D1" s="74"/>
      <c r="E1" s="74"/>
      <c r="F1" s="74"/>
    </row>
    <row r="2" spans="1:6" ht="18" customHeight="1" x14ac:dyDescent="0.25">
      <c r="A2" s="77" t="s">
        <v>107</v>
      </c>
      <c r="B2" s="74"/>
      <c r="C2" s="74"/>
      <c r="D2" s="74"/>
      <c r="E2" s="74"/>
      <c r="F2" s="74"/>
    </row>
    <row r="4" spans="1:6" ht="30" customHeight="1" x14ac:dyDescent="0.25">
      <c r="B4" s="81" t="s">
        <v>108</v>
      </c>
      <c r="C4" s="74"/>
      <c r="D4" s="74"/>
      <c r="E4" s="74"/>
      <c r="F4" s="74"/>
    </row>
    <row r="6" spans="1:6" ht="25.5" x14ac:dyDescent="0.25">
      <c r="B6" s="4" t="s">
        <v>109</v>
      </c>
      <c r="C6" s="4" t="s">
        <v>110</v>
      </c>
      <c r="D6" s="4" t="s">
        <v>111</v>
      </c>
      <c r="E6" s="4" t="s">
        <v>112</v>
      </c>
      <c r="F6" s="4" t="s">
        <v>113</v>
      </c>
    </row>
    <row r="7" spans="1:6" ht="44.1" customHeight="1" x14ac:dyDescent="0.25">
      <c r="B7" s="5" t="s">
        <v>114</v>
      </c>
      <c r="C7" s="64" t="s">
        <v>115</v>
      </c>
      <c r="D7" s="65" t="s">
        <v>116</v>
      </c>
      <c r="E7" s="66" t="s">
        <v>117</v>
      </c>
      <c r="F7" s="67" t="s">
        <v>118</v>
      </c>
    </row>
    <row r="8" spans="1:6" ht="44.1" customHeight="1" x14ac:dyDescent="0.25">
      <c r="B8" s="5" t="s">
        <v>119</v>
      </c>
      <c r="C8" s="64" t="s">
        <v>120</v>
      </c>
      <c r="D8" s="65" t="s">
        <v>121</v>
      </c>
      <c r="E8" s="68" t="s">
        <v>122</v>
      </c>
      <c r="F8" s="67" t="s">
        <v>123</v>
      </c>
    </row>
    <row r="9" spans="1:6" ht="44.1" customHeight="1" x14ac:dyDescent="0.25">
      <c r="B9" s="5" t="s">
        <v>124</v>
      </c>
      <c r="C9" s="64" t="s">
        <v>125</v>
      </c>
      <c r="D9" s="65" t="s">
        <v>126</v>
      </c>
      <c r="E9" s="69" t="s">
        <v>127</v>
      </c>
      <c r="F9" s="67" t="s">
        <v>128</v>
      </c>
    </row>
    <row r="10" spans="1:6" ht="44.1" customHeight="1" x14ac:dyDescent="0.25">
      <c r="B10" s="5" t="s">
        <v>129</v>
      </c>
      <c r="C10" s="64" t="s">
        <v>130</v>
      </c>
      <c r="D10" s="65" t="s">
        <v>131</v>
      </c>
      <c r="E10" s="70" t="s">
        <v>132</v>
      </c>
      <c r="F10" s="67" t="s">
        <v>133</v>
      </c>
    </row>
    <row r="11" spans="1:6" ht="44.1" customHeight="1" x14ac:dyDescent="0.25">
      <c r="B11" s="5" t="s">
        <v>134</v>
      </c>
      <c r="C11" s="64" t="s">
        <v>135</v>
      </c>
      <c r="D11" s="65" t="s">
        <v>136</v>
      </c>
      <c r="E11" s="66" t="s">
        <v>117</v>
      </c>
      <c r="F11" s="67" t="s">
        <v>137</v>
      </c>
    </row>
    <row r="12" spans="1:6" ht="44.1" customHeight="1" x14ac:dyDescent="0.25">
      <c r="B12" s="5" t="s">
        <v>138</v>
      </c>
      <c r="C12" s="64" t="s">
        <v>139</v>
      </c>
      <c r="D12" s="65" t="s">
        <v>140</v>
      </c>
      <c r="E12" s="69" t="s">
        <v>127</v>
      </c>
      <c r="F12" s="67" t="s">
        <v>141</v>
      </c>
    </row>
    <row r="13" spans="1:6" ht="44.1" customHeight="1" x14ac:dyDescent="0.25">
      <c r="B13" s="5" t="s">
        <v>142</v>
      </c>
      <c r="C13" s="64" t="s">
        <v>143</v>
      </c>
      <c r="D13" s="65" t="s">
        <v>144</v>
      </c>
      <c r="E13" s="68" t="s">
        <v>122</v>
      </c>
      <c r="F13" s="67" t="s">
        <v>145</v>
      </c>
    </row>
    <row r="14" spans="1:6" ht="44.1" customHeight="1" x14ac:dyDescent="0.25">
      <c r="B14" s="5" t="s">
        <v>146</v>
      </c>
      <c r="C14" s="64" t="s">
        <v>147</v>
      </c>
      <c r="D14" s="65" t="s">
        <v>148</v>
      </c>
      <c r="E14" s="68" t="s">
        <v>122</v>
      </c>
      <c r="F14" s="67" t="s">
        <v>149</v>
      </c>
    </row>
    <row r="15" spans="1:6" ht="44.1" customHeight="1" x14ac:dyDescent="0.25">
      <c r="B15" s="5" t="s">
        <v>150</v>
      </c>
      <c r="C15" s="64" t="s">
        <v>151</v>
      </c>
      <c r="D15" s="65" t="s">
        <v>152</v>
      </c>
      <c r="E15" s="69" t="s">
        <v>127</v>
      </c>
      <c r="F15" s="67" t="s">
        <v>153</v>
      </c>
    </row>
    <row r="16" spans="1:6" ht="44.1" customHeight="1" x14ac:dyDescent="0.25">
      <c r="B16" s="5" t="s">
        <v>154</v>
      </c>
      <c r="C16" s="64" t="s">
        <v>155</v>
      </c>
      <c r="D16" s="65" t="s">
        <v>156</v>
      </c>
      <c r="E16" s="70" t="s">
        <v>132</v>
      </c>
      <c r="F16" s="67" t="s">
        <v>157</v>
      </c>
    </row>
    <row r="17" spans="1:6" ht="44.1" customHeight="1" x14ac:dyDescent="0.25">
      <c r="B17" s="5" t="s">
        <v>158</v>
      </c>
      <c r="C17" s="64" t="s">
        <v>159</v>
      </c>
      <c r="D17" s="65" t="s">
        <v>160</v>
      </c>
      <c r="E17" s="69" t="s">
        <v>127</v>
      </c>
      <c r="F17" s="67" t="s">
        <v>161</v>
      </c>
    </row>
    <row r="18" spans="1:6" ht="44.1" customHeight="1" x14ac:dyDescent="0.25">
      <c r="B18" s="5" t="s">
        <v>162</v>
      </c>
      <c r="C18" s="64" t="s">
        <v>163</v>
      </c>
      <c r="D18" s="65" t="s">
        <v>164</v>
      </c>
      <c r="E18" s="68" t="s">
        <v>122</v>
      </c>
      <c r="F18" s="67" t="s">
        <v>165</v>
      </c>
    </row>
    <row r="19" spans="1:6" ht="44.1" customHeight="1" x14ac:dyDescent="0.25">
      <c r="B19" s="5" t="s">
        <v>166</v>
      </c>
      <c r="C19" s="64" t="s">
        <v>167</v>
      </c>
      <c r="D19" s="65" t="s">
        <v>168</v>
      </c>
      <c r="E19" s="68" t="s">
        <v>122</v>
      </c>
      <c r="F19" s="67" t="s">
        <v>169</v>
      </c>
    </row>
    <row r="21" spans="1:6" ht="15.95" customHeight="1" x14ac:dyDescent="0.25">
      <c r="A21" s="73" t="s">
        <v>170</v>
      </c>
      <c r="B21" s="74"/>
      <c r="C21" s="74"/>
      <c r="D21" s="74"/>
      <c r="E21" s="74"/>
      <c r="F21" s="74"/>
    </row>
    <row r="22" spans="1:6" ht="45.95" customHeight="1" x14ac:dyDescent="0.25">
      <c r="B22" s="82" t="s">
        <v>171</v>
      </c>
      <c r="C22" s="74"/>
      <c r="D22" s="74"/>
      <c r="E22" s="74"/>
      <c r="F22" s="74"/>
    </row>
  </sheetData>
  <mergeCells count="5">
    <mergeCell ref="B4:F4"/>
    <mergeCell ref="A2:F2"/>
    <mergeCell ref="A1:F1"/>
    <mergeCell ref="B22:F22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zoomScaleNormal="100" workbookViewId="0">
      <selection activeCell="F8" sqref="F8"/>
    </sheetView>
  </sheetViews>
  <sheetFormatPr defaultRowHeight="15" x14ac:dyDescent="0.25"/>
  <cols>
    <col min="1" max="1" width="3" customWidth="1"/>
    <col min="2" max="2" width="34" customWidth="1"/>
    <col min="3" max="3" width="30" customWidth="1"/>
    <col min="4" max="6" width="12" customWidth="1"/>
    <col min="7" max="7" width="14" customWidth="1"/>
    <col min="8" max="8" width="40" customWidth="1"/>
  </cols>
  <sheetData>
    <row r="1" spans="1:16" ht="26.1" customHeight="1" x14ac:dyDescent="0.25">
      <c r="A1" s="78" t="s">
        <v>172</v>
      </c>
      <c r="B1" s="74"/>
      <c r="C1" s="74"/>
      <c r="D1" s="74"/>
      <c r="E1" s="74"/>
      <c r="F1" s="74"/>
      <c r="G1" s="74"/>
      <c r="H1" s="74"/>
    </row>
    <row r="2" spans="1:16" ht="18" customHeight="1" x14ac:dyDescent="0.25">
      <c r="A2" s="77" t="s">
        <v>173</v>
      </c>
      <c r="B2" s="74"/>
      <c r="C2" s="74"/>
      <c r="D2" s="74"/>
      <c r="E2" s="74"/>
      <c r="F2" s="74"/>
      <c r="G2" s="74"/>
      <c r="H2" s="74"/>
    </row>
    <row r="4" spans="1:16" x14ac:dyDescent="0.25">
      <c r="B4" s="11" t="s">
        <v>174</v>
      </c>
      <c r="C4" s="12" t="s">
        <v>175</v>
      </c>
      <c r="E4" s="105" t="s">
        <v>176</v>
      </c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</row>
    <row r="6" spans="1:16" x14ac:dyDescent="0.25">
      <c r="B6" s="4" t="s">
        <v>46</v>
      </c>
      <c r="C6" s="4" t="s">
        <v>177</v>
      </c>
      <c r="D6" s="4" t="s">
        <v>178</v>
      </c>
      <c r="E6" s="4" t="s">
        <v>175</v>
      </c>
      <c r="F6" s="4" t="s">
        <v>179</v>
      </c>
      <c r="G6" s="4" t="s">
        <v>180</v>
      </c>
      <c r="H6" s="4" t="s">
        <v>181</v>
      </c>
    </row>
    <row r="7" spans="1:16" ht="15.95" customHeight="1" x14ac:dyDescent="0.25">
      <c r="A7" s="73" t="s">
        <v>182</v>
      </c>
      <c r="B7" s="74"/>
      <c r="C7" s="74"/>
      <c r="D7" s="74"/>
      <c r="E7" s="74"/>
      <c r="F7" s="74"/>
      <c r="G7" s="74"/>
      <c r="H7" s="74"/>
    </row>
    <row r="8" spans="1:16" ht="68.25" x14ac:dyDescent="0.25">
      <c r="B8" s="5" t="s">
        <v>183</v>
      </c>
      <c r="C8" s="13">
        <v>126</v>
      </c>
      <c r="D8" s="13">
        <v>121.7</v>
      </c>
      <c r="E8" s="13">
        <v>118</v>
      </c>
      <c r="F8" s="14">
        <f>IF($C$4="Bear",C8,IF($C$4="Base",D8,E8))</f>
        <v>121.7</v>
      </c>
      <c r="G8" s="15" t="s">
        <v>184</v>
      </c>
    </row>
    <row r="9" spans="1:16" ht="45.75" x14ac:dyDescent="0.25">
      <c r="B9" s="5" t="s">
        <v>185</v>
      </c>
      <c r="C9" s="16">
        <v>0.1</v>
      </c>
      <c r="D9" s="16">
        <v>8.6999999999999994E-2</v>
      </c>
      <c r="E9" s="16">
        <v>7.0000000000000007E-2</v>
      </c>
      <c r="F9" s="17">
        <f>IF($C$4="Bear",C9,IF($C$4="Base",D9,E9))</f>
        <v>8.6999999999999994E-2</v>
      </c>
      <c r="G9" s="15" t="s">
        <v>186</v>
      </c>
    </row>
    <row r="10" spans="1:16" ht="45.75" x14ac:dyDescent="0.25">
      <c r="B10" s="5" t="s">
        <v>187</v>
      </c>
      <c r="C10" s="16">
        <v>0.11</v>
      </c>
      <c r="D10" s="16">
        <v>0.1</v>
      </c>
      <c r="E10" s="16">
        <v>0.09</v>
      </c>
      <c r="F10" s="17">
        <f>IF($C$4="Bear",C10,IF($C$4="Base",D10,E10))</f>
        <v>0.1</v>
      </c>
      <c r="G10" s="15" t="s">
        <v>188</v>
      </c>
    </row>
    <row r="11" spans="1:16" ht="15.95" customHeight="1" x14ac:dyDescent="0.25">
      <c r="A11" s="73" t="s">
        <v>189</v>
      </c>
      <c r="B11" s="74"/>
      <c r="C11" s="74"/>
      <c r="D11" s="74"/>
      <c r="E11" s="74"/>
      <c r="F11" s="74"/>
      <c r="G11" s="74"/>
      <c r="H11" s="74"/>
    </row>
    <row r="12" spans="1:16" ht="79.5" x14ac:dyDescent="0.25">
      <c r="B12" s="5" t="s">
        <v>190</v>
      </c>
      <c r="C12" s="16">
        <v>-0.02</v>
      </c>
      <c r="D12" s="16">
        <v>0.01</v>
      </c>
      <c r="E12" s="16">
        <v>0.03</v>
      </c>
      <c r="F12" s="17">
        <f>IF($C$4="Bear",C12,IF($C$4="Base",D12,E12))</f>
        <v>0.01</v>
      </c>
      <c r="G12" s="15" t="s">
        <v>191</v>
      </c>
    </row>
    <row r="13" spans="1:16" ht="57" x14ac:dyDescent="0.25">
      <c r="B13" s="5" t="s">
        <v>192</v>
      </c>
      <c r="C13" s="16">
        <v>-0.03</v>
      </c>
      <c r="D13" s="16">
        <v>-0.01</v>
      </c>
      <c r="E13" s="16">
        <v>0.01</v>
      </c>
      <c r="F13" s="17">
        <f>IF($C$4="Bear",C13,IF($C$4="Base",D13,E13))</f>
        <v>-0.01</v>
      </c>
      <c r="G13" s="15" t="s">
        <v>193</v>
      </c>
    </row>
    <row r="14" spans="1:16" ht="68.25" x14ac:dyDescent="0.25">
      <c r="B14" s="5" t="s">
        <v>194</v>
      </c>
      <c r="C14" s="16">
        <v>0.3</v>
      </c>
      <c r="D14" s="16">
        <v>0.55000000000000004</v>
      </c>
      <c r="E14" s="16">
        <v>0.8</v>
      </c>
      <c r="F14" s="17">
        <f>IF($C$4="Bear",C14,IF($C$4="Base",D14,E14))</f>
        <v>0.55000000000000004</v>
      </c>
      <c r="G14" s="15" t="s">
        <v>195</v>
      </c>
    </row>
    <row r="15" spans="1:16" ht="45.75" x14ac:dyDescent="0.25">
      <c r="B15" s="5" t="s">
        <v>196</v>
      </c>
      <c r="C15" s="18">
        <v>1</v>
      </c>
      <c r="D15" s="18">
        <v>2</v>
      </c>
      <c r="E15" s="18">
        <v>3</v>
      </c>
      <c r="F15" s="19">
        <f>IF($C$4="Bear",C15,IF($C$4="Base",D15,E15))</f>
        <v>2</v>
      </c>
      <c r="G15" s="15" t="s">
        <v>197</v>
      </c>
    </row>
    <row r="16" spans="1:16" ht="15.95" customHeight="1" x14ac:dyDescent="0.25">
      <c r="A16" s="73" t="s">
        <v>198</v>
      </c>
      <c r="B16" s="74"/>
      <c r="C16" s="74"/>
      <c r="D16" s="74"/>
      <c r="E16" s="74"/>
      <c r="F16" s="74"/>
      <c r="G16" s="74"/>
      <c r="H16" s="74"/>
    </row>
    <row r="17" spans="1:8" ht="169.5" x14ac:dyDescent="0.25">
      <c r="B17" s="5" t="s">
        <v>199</v>
      </c>
      <c r="C17" s="16">
        <v>0.7</v>
      </c>
      <c r="D17" s="16">
        <v>0.9</v>
      </c>
      <c r="E17" s="16">
        <v>1</v>
      </c>
      <c r="F17" s="17">
        <f>IF($C$4="Bear",C17,IF($C$4="Base",D17,E17))</f>
        <v>0.9</v>
      </c>
      <c r="G17" s="15" t="s">
        <v>200</v>
      </c>
    </row>
    <row r="18" spans="1:8" ht="180.75" x14ac:dyDescent="0.25">
      <c r="B18" s="5" t="s">
        <v>201</v>
      </c>
      <c r="C18" s="16">
        <v>0.4</v>
      </c>
      <c r="D18" s="16">
        <v>0.47</v>
      </c>
      <c r="E18" s="16">
        <v>0.5</v>
      </c>
      <c r="F18" s="17">
        <f>IF($C$4="Bear",C18,IF($C$4="Base",D18,E18))</f>
        <v>0.47</v>
      </c>
      <c r="G18" s="33" t="s">
        <v>202</v>
      </c>
    </row>
    <row r="19" spans="1:8" ht="15.95" customHeight="1" x14ac:dyDescent="0.25">
      <c r="A19" s="73" t="s">
        <v>203</v>
      </c>
      <c r="B19" s="74"/>
      <c r="C19" s="74"/>
      <c r="D19" s="74"/>
      <c r="E19" s="74"/>
      <c r="F19" s="74"/>
      <c r="G19" s="74"/>
      <c r="H19" s="74"/>
    </row>
    <row r="20" spans="1:8" ht="192" x14ac:dyDescent="0.25">
      <c r="B20" s="5" t="s">
        <v>204</v>
      </c>
      <c r="C20" s="16">
        <v>0.2</v>
      </c>
      <c r="D20" s="16">
        <v>0.16</v>
      </c>
      <c r="E20" s="16">
        <v>0.13</v>
      </c>
      <c r="F20" s="17">
        <f>IF($C$4="Bear",C20,IF($C$4="Base",D20,E20))</f>
        <v>0.16</v>
      </c>
      <c r="G20" s="15" t="s">
        <v>205</v>
      </c>
    </row>
    <row r="21" spans="1:8" ht="57" x14ac:dyDescent="0.25">
      <c r="B21" s="5" t="s">
        <v>206</v>
      </c>
      <c r="C21" s="16">
        <v>0.01</v>
      </c>
      <c r="D21" s="16">
        <v>0.02</v>
      </c>
      <c r="E21" s="16">
        <v>0.03</v>
      </c>
      <c r="F21" s="17">
        <f>IF($C$4="Bear",C21,IF($C$4="Base",D21,E21))</f>
        <v>0.02</v>
      </c>
      <c r="G21" s="15" t="s">
        <v>207</v>
      </c>
    </row>
    <row r="22" spans="1:8" ht="90.75" x14ac:dyDescent="0.25">
      <c r="B22" s="5" t="s">
        <v>208</v>
      </c>
      <c r="C22" s="20">
        <v>40</v>
      </c>
      <c r="D22" s="20">
        <v>20</v>
      </c>
      <c r="E22" s="20">
        <v>10</v>
      </c>
      <c r="F22" s="21">
        <f>IF($C$4="Bear",C22,IF($C$4="Base",D22,E22))</f>
        <v>20</v>
      </c>
      <c r="G22" s="15" t="s">
        <v>209</v>
      </c>
    </row>
    <row r="23" spans="1:8" ht="15.95" customHeight="1" x14ac:dyDescent="0.25">
      <c r="A23" s="73" t="s">
        <v>210</v>
      </c>
      <c r="B23" s="74"/>
      <c r="C23" s="74"/>
      <c r="D23" s="74"/>
      <c r="E23" s="74"/>
      <c r="F23" s="74"/>
      <c r="G23" s="74"/>
      <c r="H23" s="74"/>
    </row>
    <row r="24" spans="1:8" ht="90.75" x14ac:dyDescent="0.25">
      <c r="B24" s="5" t="s">
        <v>211</v>
      </c>
      <c r="C24" s="16">
        <v>5.5E-2</v>
      </c>
      <c r="D24" s="16">
        <v>4.4999999999999998E-2</v>
      </c>
      <c r="E24" s="16">
        <v>0.04</v>
      </c>
      <c r="F24" s="17">
        <f t="shared" ref="F24:F30" si="0">IF($C$4="Bear",C24,IF($C$4="Base",D24,E24))</f>
        <v>4.4999999999999998E-2</v>
      </c>
      <c r="G24" s="15" t="s">
        <v>212</v>
      </c>
    </row>
    <row r="25" spans="1:8" ht="57" x14ac:dyDescent="0.25">
      <c r="B25" s="5" t="s">
        <v>213</v>
      </c>
      <c r="C25" s="16">
        <v>0.06</v>
      </c>
      <c r="D25" s="16">
        <v>0.06</v>
      </c>
      <c r="E25" s="16">
        <v>0.06</v>
      </c>
      <c r="F25" s="17">
        <f t="shared" si="0"/>
        <v>0.06</v>
      </c>
      <c r="G25" s="15" t="s">
        <v>214</v>
      </c>
    </row>
    <row r="26" spans="1:8" ht="68.25" x14ac:dyDescent="0.25">
      <c r="B26" s="5" t="s">
        <v>215</v>
      </c>
      <c r="C26" s="16">
        <v>0.04</v>
      </c>
      <c r="D26" s="16">
        <v>0.03</v>
      </c>
      <c r="E26" s="16">
        <v>0.02</v>
      </c>
      <c r="F26" s="17">
        <f t="shared" si="0"/>
        <v>0.03</v>
      </c>
      <c r="G26" s="15" t="s">
        <v>216</v>
      </c>
    </row>
    <row r="27" spans="1:8" ht="45.75" x14ac:dyDescent="0.25">
      <c r="B27" s="5" t="s">
        <v>217</v>
      </c>
      <c r="C27" s="22">
        <v>0.85</v>
      </c>
      <c r="D27" s="22">
        <v>0.85</v>
      </c>
      <c r="E27" s="22">
        <v>0.85</v>
      </c>
      <c r="F27" s="23">
        <f t="shared" si="0"/>
        <v>0.85</v>
      </c>
      <c r="G27" s="15" t="s">
        <v>218</v>
      </c>
    </row>
    <row r="28" spans="1:8" ht="79.5" x14ac:dyDescent="0.25">
      <c r="B28" s="5" t="s">
        <v>219</v>
      </c>
      <c r="C28" s="16">
        <v>0.09</v>
      </c>
      <c r="D28" s="16">
        <v>0.08</v>
      </c>
      <c r="E28" s="16">
        <v>7.0000000000000007E-2</v>
      </c>
      <c r="F28" s="17">
        <f t="shared" si="0"/>
        <v>0.08</v>
      </c>
      <c r="G28" s="15" t="s">
        <v>220</v>
      </c>
    </row>
    <row r="29" spans="1:8" ht="57" x14ac:dyDescent="0.25">
      <c r="B29" s="5" t="s">
        <v>221</v>
      </c>
      <c r="C29" s="16">
        <v>0.2</v>
      </c>
      <c r="D29" s="16">
        <v>0.2</v>
      </c>
      <c r="E29" s="16">
        <v>0.2</v>
      </c>
      <c r="F29" s="17">
        <f t="shared" si="0"/>
        <v>0.2</v>
      </c>
      <c r="G29" s="15" t="s">
        <v>222</v>
      </c>
    </row>
    <row r="30" spans="1:8" ht="113.25" x14ac:dyDescent="0.25">
      <c r="B30" s="5" t="s">
        <v>223</v>
      </c>
      <c r="C30" s="16">
        <v>0.27500000000000002</v>
      </c>
      <c r="D30" s="16">
        <v>0.25</v>
      </c>
      <c r="E30" s="16">
        <v>0.22500000000000001</v>
      </c>
      <c r="F30" s="17">
        <f t="shared" si="0"/>
        <v>0.25</v>
      </c>
      <c r="G30" s="15" t="s">
        <v>224</v>
      </c>
    </row>
    <row r="31" spans="1:8" ht="15.95" customHeight="1" x14ac:dyDescent="0.25">
      <c r="A31" s="73" t="s">
        <v>225</v>
      </c>
      <c r="B31" s="74"/>
      <c r="C31" s="74"/>
      <c r="D31" s="74"/>
      <c r="E31" s="74"/>
      <c r="F31" s="74"/>
      <c r="G31" s="74"/>
      <c r="H31" s="74"/>
    </row>
    <row r="32" spans="1:8" ht="79.5" x14ac:dyDescent="0.25">
      <c r="B32" s="5" t="s">
        <v>226</v>
      </c>
      <c r="C32" s="16">
        <v>0.35</v>
      </c>
      <c r="D32" s="16">
        <v>0.25</v>
      </c>
      <c r="E32" s="16">
        <v>0.15</v>
      </c>
      <c r="F32" s="17">
        <f>IF($C$4="Bear",C32,IF($C$4="Base",D32,E32))</f>
        <v>0.25</v>
      </c>
      <c r="G32" s="15" t="s">
        <v>227</v>
      </c>
    </row>
    <row r="33" spans="1:8" ht="57" x14ac:dyDescent="0.25">
      <c r="B33" s="5" t="s">
        <v>228</v>
      </c>
      <c r="C33" s="16">
        <v>0.03</v>
      </c>
      <c r="D33" s="16">
        <v>0.04</v>
      </c>
      <c r="E33" s="16">
        <v>0.05</v>
      </c>
      <c r="F33" s="17">
        <f>IF($C$4="Bear",C33,IF($C$4="Base",D33,E33))</f>
        <v>0.04</v>
      </c>
      <c r="G33" s="15" t="s">
        <v>229</v>
      </c>
    </row>
    <row r="35" spans="1:8" ht="15.95" customHeight="1" x14ac:dyDescent="0.25">
      <c r="A35" s="73" t="s">
        <v>230</v>
      </c>
      <c r="B35" s="74"/>
      <c r="C35" s="74"/>
      <c r="D35" s="74"/>
      <c r="E35" s="74"/>
      <c r="F35" s="74"/>
      <c r="G35" s="74"/>
      <c r="H35" s="74"/>
    </row>
    <row r="36" spans="1:8" x14ac:dyDescent="0.25">
      <c r="B36" s="5" t="s">
        <v>231</v>
      </c>
      <c r="C36" s="83" t="s">
        <v>232</v>
      </c>
      <c r="D36" s="84"/>
      <c r="E36" s="84"/>
      <c r="F36" s="85"/>
      <c r="G36" s="25" t="s">
        <v>233</v>
      </c>
    </row>
    <row r="37" spans="1:8" x14ac:dyDescent="0.25">
      <c r="B37" s="5" t="s">
        <v>234</v>
      </c>
      <c r="C37" s="83" t="s">
        <v>232</v>
      </c>
      <c r="D37" s="84"/>
      <c r="E37" s="84"/>
      <c r="F37" s="85"/>
      <c r="G37" s="25" t="s">
        <v>233</v>
      </c>
    </row>
    <row r="38" spans="1:8" x14ac:dyDescent="0.25">
      <c r="B38" s="5" t="s">
        <v>235</v>
      </c>
      <c r="C38" s="83" t="s">
        <v>232</v>
      </c>
      <c r="D38" s="84"/>
      <c r="E38" s="84"/>
      <c r="F38" s="85"/>
      <c r="G38" s="25" t="s">
        <v>233</v>
      </c>
    </row>
    <row r="39" spans="1:8" x14ac:dyDescent="0.25">
      <c r="B39" s="5" t="s">
        <v>236</v>
      </c>
      <c r="C39" s="83" t="s">
        <v>232</v>
      </c>
      <c r="D39" s="84"/>
      <c r="E39" s="84"/>
      <c r="F39" s="85"/>
      <c r="G39" s="25" t="s">
        <v>233</v>
      </c>
    </row>
    <row r="41" spans="1:8" ht="15.95" customHeight="1" x14ac:dyDescent="0.25">
      <c r="A41" s="73" t="s">
        <v>237</v>
      </c>
      <c r="B41" s="74"/>
      <c r="C41" s="74"/>
      <c r="D41" s="74"/>
      <c r="E41" s="74"/>
      <c r="F41" s="74"/>
      <c r="G41" s="74"/>
      <c r="H41" s="74"/>
    </row>
    <row r="42" spans="1:8" ht="25.5" x14ac:dyDescent="0.25">
      <c r="B42" s="4" t="s">
        <v>238</v>
      </c>
      <c r="C42" s="4" t="s">
        <v>239</v>
      </c>
      <c r="D42" s="4" t="s">
        <v>240</v>
      </c>
      <c r="E42" s="4"/>
      <c r="F42" s="4"/>
      <c r="G42" s="4" t="s">
        <v>241</v>
      </c>
      <c r="H42" s="4" t="s">
        <v>242</v>
      </c>
    </row>
    <row r="43" spans="1:8" ht="27.95" customHeight="1" x14ac:dyDescent="0.25">
      <c r="B43" s="5" t="s">
        <v>243</v>
      </c>
      <c r="C43" s="31" t="s">
        <v>244</v>
      </c>
      <c r="D43" s="86" t="s">
        <v>245</v>
      </c>
      <c r="E43" s="84"/>
      <c r="F43" s="85"/>
      <c r="G43" s="72" t="s">
        <v>246</v>
      </c>
      <c r="H43" s="28" t="s">
        <v>247</v>
      </c>
    </row>
    <row r="44" spans="1:8" ht="27.95" customHeight="1" x14ac:dyDescent="0.25">
      <c r="B44" s="5" t="s">
        <v>248</v>
      </c>
      <c r="C44" s="31" t="s">
        <v>249</v>
      </c>
      <c r="D44" s="86" t="s">
        <v>250</v>
      </c>
      <c r="E44" s="84"/>
      <c r="F44" s="85"/>
      <c r="G44" s="72" t="s">
        <v>251</v>
      </c>
      <c r="H44" s="28" t="s">
        <v>247</v>
      </c>
    </row>
    <row r="45" spans="1:8" ht="27.95" customHeight="1" x14ac:dyDescent="0.25">
      <c r="B45" s="5" t="s">
        <v>252</v>
      </c>
      <c r="C45" s="31" t="s">
        <v>253</v>
      </c>
      <c r="D45" s="86" t="s">
        <v>254</v>
      </c>
      <c r="E45" s="84"/>
      <c r="F45" s="85"/>
      <c r="G45" s="72" t="s">
        <v>255</v>
      </c>
      <c r="H45" s="28" t="s">
        <v>247</v>
      </c>
    </row>
    <row r="46" spans="1:8" ht="27.95" customHeight="1" x14ac:dyDescent="0.25">
      <c r="B46" s="5" t="s">
        <v>256</v>
      </c>
      <c r="C46" s="31" t="s">
        <v>257</v>
      </c>
      <c r="D46" s="86" t="s">
        <v>258</v>
      </c>
      <c r="E46" s="84"/>
      <c r="F46" s="85"/>
      <c r="G46" s="72" t="s">
        <v>259</v>
      </c>
      <c r="H46" s="28" t="s">
        <v>247</v>
      </c>
    </row>
    <row r="48" spans="1:8" x14ac:dyDescent="0.25">
      <c r="B48" s="87" t="s">
        <v>260</v>
      </c>
      <c r="C48" s="74"/>
      <c r="D48" s="74"/>
      <c r="E48" s="74"/>
      <c r="F48" s="74"/>
      <c r="G48" s="74"/>
      <c r="H48" s="74"/>
    </row>
  </sheetData>
  <mergeCells count="20">
    <mergeCell ref="B48:H48"/>
    <mergeCell ref="D44:F44"/>
    <mergeCell ref="A23:H23"/>
    <mergeCell ref="A35:H35"/>
    <mergeCell ref="D46:F46"/>
    <mergeCell ref="D45:F45"/>
    <mergeCell ref="A31:H31"/>
    <mergeCell ref="C36:F36"/>
    <mergeCell ref="D43:F43"/>
    <mergeCell ref="A7:H7"/>
    <mergeCell ref="A16:H16"/>
    <mergeCell ref="A41:H41"/>
    <mergeCell ref="A2:H2"/>
    <mergeCell ref="A19:H19"/>
    <mergeCell ref="E4:P4"/>
    <mergeCell ref="C39:F39"/>
    <mergeCell ref="C38:F38"/>
    <mergeCell ref="A11:H11"/>
    <mergeCell ref="A1:H1"/>
    <mergeCell ref="C37:F37"/>
  </mergeCells>
  <dataValidations count="1">
    <dataValidation type="list" sqref="C4" xr:uid="{00000000-0002-0000-0300-000000000000}">
      <formula1>"Bear,Base,Bull"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>
      <selection sqref="A1:F1"/>
    </sheetView>
  </sheetViews>
  <sheetFormatPr defaultRowHeight="15" x14ac:dyDescent="0.25"/>
  <cols>
    <col min="1" max="1" width="3" customWidth="1"/>
    <col min="2" max="2" width="32" customWidth="1"/>
    <col min="3" max="5" width="14" customWidth="1"/>
    <col min="6" max="6" width="40" customWidth="1"/>
  </cols>
  <sheetData>
    <row r="1" spans="1:6" ht="26.1" customHeight="1" x14ac:dyDescent="0.25">
      <c r="A1" s="78" t="s">
        <v>261</v>
      </c>
      <c r="B1" s="74"/>
      <c r="C1" s="74"/>
      <c r="D1" s="74"/>
      <c r="E1" s="74"/>
      <c r="F1" s="74"/>
    </row>
    <row r="2" spans="1:6" ht="18" customHeight="1" x14ac:dyDescent="0.25">
      <c r="A2" s="77" t="s">
        <v>262</v>
      </c>
      <c r="B2" s="74"/>
      <c r="C2" s="74"/>
      <c r="D2" s="74"/>
      <c r="E2" s="74"/>
      <c r="F2" s="74"/>
    </row>
    <row r="4" spans="1:6" x14ac:dyDescent="0.25">
      <c r="B4" s="4" t="s">
        <v>263</v>
      </c>
      <c r="C4" s="4" t="s">
        <v>264</v>
      </c>
      <c r="D4" s="4" t="s">
        <v>265</v>
      </c>
      <c r="E4" s="4" t="s">
        <v>266</v>
      </c>
      <c r="F4" s="4" t="s">
        <v>242</v>
      </c>
    </row>
    <row r="5" spans="1:6" ht="15.95" customHeight="1" x14ac:dyDescent="0.25">
      <c r="A5" s="73" t="s">
        <v>267</v>
      </c>
      <c r="B5" s="74"/>
      <c r="C5" s="74"/>
      <c r="D5" s="74"/>
      <c r="E5" s="74"/>
      <c r="F5" s="74"/>
    </row>
    <row r="6" spans="1:6" x14ac:dyDescent="0.25">
      <c r="B6" s="5" t="s">
        <v>268</v>
      </c>
      <c r="C6" s="26">
        <v>59.7</v>
      </c>
      <c r="D6" s="26">
        <v>55.9</v>
      </c>
      <c r="E6" s="5" t="s">
        <v>269</v>
      </c>
      <c r="F6" s="15" t="s">
        <v>53</v>
      </c>
    </row>
    <row r="7" spans="1:6" x14ac:dyDescent="0.25">
      <c r="B7" s="5" t="s">
        <v>270</v>
      </c>
      <c r="C7" s="26">
        <v>20.7</v>
      </c>
      <c r="D7" s="26">
        <v>27.5</v>
      </c>
      <c r="E7" s="5" t="s">
        <v>269</v>
      </c>
      <c r="F7" s="15" t="s">
        <v>53</v>
      </c>
    </row>
    <row r="8" spans="1:6" x14ac:dyDescent="0.25">
      <c r="B8" s="5" t="s">
        <v>271</v>
      </c>
      <c r="C8" s="27">
        <f>C7/C6</f>
        <v>0.34673366834170849</v>
      </c>
      <c r="D8" s="27">
        <f>D7/D6</f>
        <v>0.49194991055456172</v>
      </c>
      <c r="E8" s="5" t="s">
        <v>272</v>
      </c>
      <c r="F8" s="28" t="s">
        <v>273</v>
      </c>
    </row>
    <row r="9" spans="1:6" ht="23.25" x14ac:dyDescent="0.25">
      <c r="B9" s="5" t="s">
        <v>274</v>
      </c>
      <c r="C9" s="26">
        <v>0.34</v>
      </c>
      <c r="D9" s="26">
        <v>3</v>
      </c>
      <c r="E9" s="5" t="s">
        <v>269</v>
      </c>
      <c r="F9" s="15" t="s">
        <v>275</v>
      </c>
    </row>
    <row r="10" spans="1:6" ht="45.75" x14ac:dyDescent="0.25">
      <c r="B10" s="5" t="s">
        <v>276</v>
      </c>
      <c r="C10" s="16"/>
      <c r="D10" s="16">
        <v>-0.41299999999999998</v>
      </c>
      <c r="E10" s="5" t="s">
        <v>277</v>
      </c>
      <c r="F10" s="15" t="s">
        <v>278</v>
      </c>
    </row>
    <row r="11" spans="1:6" x14ac:dyDescent="0.25">
      <c r="B11" s="5" t="s">
        <v>279</v>
      </c>
      <c r="C11" s="26">
        <v>18</v>
      </c>
      <c r="D11" s="26">
        <v>18.399999999999999</v>
      </c>
      <c r="E11" s="5" t="s">
        <v>280</v>
      </c>
      <c r="F11" s="15" t="s">
        <v>281</v>
      </c>
    </row>
    <row r="12" spans="1:6" x14ac:dyDescent="0.25">
      <c r="B12" s="5" t="s">
        <v>282</v>
      </c>
      <c r="C12" s="16">
        <v>0.502</v>
      </c>
      <c r="D12" s="16">
        <v>0.53300000000000003</v>
      </c>
      <c r="E12" s="5" t="s">
        <v>283</v>
      </c>
      <c r="F12" s="15" t="s">
        <v>281</v>
      </c>
    </row>
    <row r="13" spans="1:6" x14ac:dyDescent="0.25">
      <c r="B13" s="5" t="s">
        <v>284</v>
      </c>
      <c r="C13" s="26"/>
      <c r="D13" s="26">
        <v>34.4</v>
      </c>
      <c r="E13" s="5" t="s">
        <v>280</v>
      </c>
      <c r="F13" s="15" t="s">
        <v>53</v>
      </c>
    </row>
    <row r="14" spans="1:6" ht="23.25" x14ac:dyDescent="0.25">
      <c r="B14" s="5" t="s">
        <v>285</v>
      </c>
      <c r="C14" s="26"/>
      <c r="D14" s="26">
        <v>8.1</v>
      </c>
      <c r="E14" s="5" t="s">
        <v>280</v>
      </c>
      <c r="F14" s="15" t="s">
        <v>286</v>
      </c>
    </row>
    <row r="15" spans="1:6" x14ac:dyDescent="0.25">
      <c r="B15" s="5" t="s">
        <v>287</v>
      </c>
      <c r="C15" s="26"/>
      <c r="D15" s="26">
        <v>6.4</v>
      </c>
      <c r="E15" s="5" t="s">
        <v>280</v>
      </c>
      <c r="F15" s="15" t="s">
        <v>57</v>
      </c>
    </row>
    <row r="16" spans="1:6" ht="23.25" x14ac:dyDescent="0.25">
      <c r="B16" s="5" t="s">
        <v>288</v>
      </c>
      <c r="C16" s="26"/>
      <c r="D16" s="26">
        <v>0.3</v>
      </c>
      <c r="E16" s="5" t="s">
        <v>280</v>
      </c>
      <c r="F16" s="15" t="s">
        <v>289</v>
      </c>
    </row>
    <row r="17" spans="1:6" x14ac:dyDescent="0.25">
      <c r="B17" s="5" t="s">
        <v>290</v>
      </c>
      <c r="C17" s="16"/>
      <c r="D17" s="16">
        <v>0.23599999999999999</v>
      </c>
      <c r="E17" s="5" t="s">
        <v>277</v>
      </c>
      <c r="F17" s="15" t="s">
        <v>57</v>
      </c>
    </row>
    <row r="19" spans="1:6" ht="15.95" customHeight="1" x14ac:dyDescent="0.25">
      <c r="A19" s="73" t="s">
        <v>291</v>
      </c>
      <c r="B19" s="74"/>
      <c r="C19" s="74"/>
      <c r="D19" s="74"/>
      <c r="E19" s="74"/>
      <c r="F19" s="74"/>
    </row>
    <row r="20" spans="1:6" ht="27.95" customHeight="1" x14ac:dyDescent="0.25">
      <c r="B20" s="5" t="s">
        <v>292</v>
      </c>
      <c r="C20" s="24"/>
      <c r="D20" s="18">
        <v>38.049999999999997</v>
      </c>
      <c r="E20" s="5" t="s">
        <v>280</v>
      </c>
      <c r="F20" s="29" t="s">
        <v>293</v>
      </c>
    </row>
    <row r="22" spans="1:6" ht="15.95" customHeight="1" x14ac:dyDescent="0.25">
      <c r="A22" s="73" t="s">
        <v>294</v>
      </c>
      <c r="B22" s="74"/>
      <c r="C22" s="74"/>
      <c r="D22" s="74"/>
      <c r="E22" s="74"/>
      <c r="F22" s="74"/>
    </row>
    <row r="23" spans="1:6" ht="25.5" x14ac:dyDescent="0.25">
      <c r="B23" s="4" t="s">
        <v>295</v>
      </c>
      <c r="C23" s="4" t="s">
        <v>296</v>
      </c>
      <c r="D23" s="4" t="s">
        <v>297</v>
      </c>
      <c r="E23" s="4" t="s">
        <v>298</v>
      </c>
      <c r="F23" s="4" t="s">
        <v>242</v>
      </c>
    </row>
    <row r="24" spans="1:6" x14ac:dyDescent="0.25">
      <c r="B24" s="5" t="s">
        <v>299</v>
      </c>
      <c r="C24" s="26">
        <v>158.44999999999999</v>
      </c>
      <c r="D24" s="26">
        <v>36.31</v>
      </c>
      <c r="E24" s="16">
        <v>0.45700000000000002</v>
      </c>
      <c r="F24" s="28" t="s">
        <v>300</v>
      </c>
    </row>
    <row r="25" spans="1:6" x14ac:dyDescent="0.25">
      <c r="B25" s="5" t="s">
        <v>301</v>
      </c>
      <c r="C25" s="26">
        <v>99.5</v>
      </c>
      <c r="D25" s="26">
        <v>7.03</v>
      </c>
      <c r="E25" s="16">
        <v>0.30599999999999999</v>
      </c>
      <c r="F25" s="28" t="s">
        <v>300</v>
      </c>
    </row>
    <row r="26" spans="1:6" x14ac:dyDescent="0.25">
      <c r="B26" s="5" t="s">
        <v>302</v>
      </c>
      <c r="C26" s="26">
        <v>59.7</v>
      </c>
      <c r="D26" s="30" t="s">
        <v>303</v>
      </c>
      <c r="E26" s="16">
        <v>0.20200000000000001</v>
      </c>
      <c r="F26" s="28" t="s">
        <v>304</v>
      </c>
    </row>
    <row r="27" spans="1:6" x14ac:dyDescent="0.25">
      <c r="B27" s="5" t="s">
        <v>305</v>
      </c>
      <c r="C27" s="26">
        <v>5.52</v>
      </c>
      <c r="D27" s="30" t="s">
        <v>303</v>
      </c>
      <c r="E27" s="16">
        <v>3.5000000000000003E-2</v>
      </c>
      <c r="F27" s="28" t="s">
        <v>300</v>
      </c>
    </row>
    <row r="29" spans="1:6" ht="15.95" customHeight="1" x14ac:dyDescent="0.25">
      <c r="A29" s="73" t="s">
        <v>306</v>
      </c>
      <c r="B29" s="74"/>
      <c r="C29" s="74"/>
      <c r="D29" s="74"/>
      <c r="E29" s="74"/>
      <c r="F29" s="74"/>
    </row>
    <row r="30" spans="1:6" x14ac:dyDescent="0.25">
      <c r="B30" s="4" t="s">
        <v>307</v>
      </c>
      <c r="C30" s="4" t="s">
        <v>264</v>
      </c>
      <c r="D30" s="4" t="s">
        <v>265</v>
      </c>
      <c r="E30" s="4" t="s">
        <v>266</v>
      </c>
      <c r="F30" s="4" t="s">
        <v>242</v>
      </c>
    </row>
    <row r="31" spans="1:6" x14ac:dyDescent="0.25">
      <c r="B31" s="5" t="s">
        <v>308</v>
      </c>
      <c r="C31" s="13">
        <v>119.6</v>
      </c>
      <c r="D31" s="13">
        <v>122.2</v>
      </c>
      <c r="E31" s="5" t="s">
        <v>309</v>
      </c>
      <c r="F31" s="15" t="s">
        <v>310</v>
      </c>
    </row>
    <row r="32" spans="1:6" x14ac:dyDescent="0.25">
      <c r="B32" s="5" t="s">
        <v>311</v>
      </c>
      <c r="C32" s="13">
        <v>115.4</v>
      </c>
      <c r="D32" s="13">
        <v>121.7</v>
      </c>
      <c r="E32" s="5" t="s">
        <v>309</v>
      </c>
      <c r="F32" s="15" t="s">
        <v>310</v>
      </c>
    </row>
  </sheetData>
  <mergeCells count="6">
    <mergeCell ref="A29:F29"/>
    <mergeCell ref="A2:F2"/>
    <mergeCell ref="A19:F19"/>
    <mergeCell ref="A1:F1"/>
    <mergeCell ref="A5:F5"/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tabSelected="1" workbookViewId="0">
      <selection activeCell="C9" sqref="C9"/>
    </sheetView>
  </sheetViews>
  <sheetFormatPr defaultRowHeight="15" x14ac:dyDescent="0.25"/>
  <cols>
    <col min="1" max="1" width="3" customWidth="1"/>
    <col min="2" max="2" width="30" customWidth="1"/>
    <col min="3" max="4" width="18" customWidth="1"/>
    <col min="5" max="5" width="16" customWidth="1"/>
    <col min="6" max="6" width="40" customWidth="1"/>
  </cols>
  <sheetData>
    <row r="1" spans="1:6" ht="26.1" customHeight="1" x14ac:dyDescent="0.25">
      <c r="A1" s="78" t="s">
        <v>312</v>
      </c>
      <c r="B1" s="74"/>
      <c r="C1" s="74"/>
      <c r="D1" s="74"/>
      <c r="E1" s="74"/>
      <c r="F1" s="74"/>
    </row>
    <row r="2" spans="1:6" ht="18" customHeight="1" x14ac:dyDescent="0.25">
      <c r="A2" s="77" t="s">
        <v>313</v>
      </c>
      <c r="B2" s="74"/>
      <c r="C2" s="74"/>
      <c r="D2" s="74"/>
      <c r="E2" s="74"/>
      <c r="F2" s="74"/>
    </row>
    <row r="4" spans="1:6" ht="25.5" x14ac:dyDescent="0.25">
      <c r="B4" s="4" t="s">
        <v>263</v>
      </c>
      <c r="C4" s="4" t="s">
        <v>314</v>
      </c>
      <c r="D4" s="4" t="s">
        <v>315</v>
      </c>
      <c r="E4" s="4" t="s">
        <v>266</v>
      </c>
      <c r="F4" s="4" t="s">
        <v>242</v>
      </c>
    </row>
    <row r="5" spans="1:6" ht="23.25" x14ac:dyDescent="0.25">
      <c r="B5" s="5" t="s">
        <v>316</v>
      </c>
      <c r="C5" s="26">
        <v>375.9</v>
      </c>
      <c r="D5" s="26">
        <v>157.13999999999999</v>
      </c>
      <c r="E5" s="5" t="s">
        <v>269</v>
      </c>
      <c r="F5" s="15" t="s">
        <v>317</v>
      </c>
    </row>
    <row r="6" spans="1:6" ht="23.25" x14ac:dyDescent="0.25">
      <c r="B6" s="5" t="s">
        <v>318</v>
      </c>
      <c r="C6" s="31" t="s">
        <v>319</v>
      </c>
      <c r="D6" s="31">
        <v>200.72</v>
      </c>
      <c r="E6" s="5" t="s">
        <v>269</v>
      </c>
      <c r="F6" s="15" t="s">
        <v>320</v>
      </c>
    </row>
    <row r="7" spans="1:6" x14ac:dyDescent="0.25">
      <c r="B7" s="5" t="s">
        <v>321</v>
      </c>
      <c r="C7" s="26">
        <v>158.44999999999999</v>
      </c>
      <c r="D7" s="26">
        <v>99.5</v>
      </c>
      <c r="E7" s="5" t="s">
        <v>269</v>
      </c>
      <c r="F7" s="15" t="s">
        <v>322</v>
      </c>
    </row>
    <row r="8" spans="1:6" ht="34.5" x14ac:dyDescent="0.25">
      <c r="B8" s="5" t="s">
        <v>323</v>
      </c>
      <c r="C8" s="31" t="s">
        <v>303</v>
      </c>
      <c r="D8" s="31" t="s">
        <v>303</v>
      </c>
      <c r="E8" s="5" t="s">
        <v>269</v>
      </c>
      <c r="F8" s="15" t="s">
        <v>324</v>
      </c>
    </row>
    <row r="9" spans="1:6" x14ac:dyDescent="0.25">
      <c r="B9" s="5" t="s">
        <v>325</v>
      </c>
      <c r="C9" s="26">
        <v>36.31</v>
      </c>
      <c r="D9" s="26">
        <v>7.03</v>
      </c>
      <c r="E9" s="5" t="s">
        <v>269</v>
      </c>
      <c r="F9" s="15" t="s">
        <v>322</v>
      </c>
    </row>
    <row r="10" spans="1:6" x14ac:dyDescent="0.25">
      <c r="B10" s="5" t="s">
        <v>326</v>
      </c>
      <c r="C10" s="22">
        <v>5.46</v>
      </c>
      <c r="D10" s="22">
        <v>4.1900000000000004</v>
      </c>
      <c r="E10" s="5" t="s">
        <v>327</v>
      </c>
      <c r="F10" s="15" t="s">
        <v>328</v>
      </c>
    </row>
    <row r="11" spans="1:6" x14ac:dyDescent="0.25">
      <c r="B11" s="5" t="s">
        <v>329</v>
      </c>
      <c r="C11" s="22">
        <v>11.67</v>
      </c>
      <c r="D11" s="22">
        <v>16.989999999999998</v>
      </c>
      <c r="E11" s="5" t="s">
        <v>327</v>
      </c>
      <c r="F11" s="15" t="s">
        <v>328</v>
      </c>
    </row>
    <row r="12" spans="1:6" x14ac:dyDescent="0.25">
      <c r="B12" s="5" t="s">
        <v>330</v>
      </c>
      <c r="C12" s="22">
        <v>10.06</v>
      </c>
      <c r="D12" s="22">
        <v>20</v>
      </c>
      <c r="E12" s="5" t="s">
        <v>327</v>
      </c>
      <c r="F12" s="15" t="s">
        <v>328</v>
      </c>
    </row>
    <row r="13" spans="1:6" x14ac:dyDescent="0.25">
      <c r="B13" s="5" t="s">
        <v>331</v>
      </c>
      <c r="C13" s="16">
        <v>8.2000000000000003E-2</v>
      </c>
      <c r="D13" s="16">
        <v>0.05</v>
      </c>
      <c r="E13" s="5" t="s">
        <v>272</v>
      </c>
      <c r="F13" s="15" t="s">
        <v>328</v>
      </c>
    </row>
    <row r="15" spans="1:6" ht="15.95" customHeight="1" x14ac:dyDescent="0.25">
      <c r="A15" s="73" t="s">
        <v>332</v>
      </c>
      <c r="B15" s="74"/>
      <c r="C15" s="74"/>
      <c r="D15" s="74"/>
      <c r="E15" s="74"/>
      <c r="F15" s="74"/>
    </row>
    <row r="16" spans="1:6" x14ac:dyDescent="0.25">
      <c r="B16" s="5" t="s">
        <v>333</v>
      </c>
      <c r="C16" s="30" t="s">
        <v>334</v>
      </c>
      <c r="D16" s="32">
        <f>D6/D7</f>
        <v>2.0172864321608039</v>
      </c>
      <c r="E16" s="5" t="s">
        <v>327</v>
      </c>
      <c r="F16" s="28" t="s">
        <v>335</v>
      </c>
    </row>
    <row r="18" spans="1:6" ht="15.95" customHeight="1" x14ac:dyDescent="0.25">
      <c r="A18" s="73" t="s">
        <v>336</v>
      </c>
      <c r="B18" s="74"/>
      <c r="C18" s="74"/>
      <c r="D18" s="74"/>
      <c r="E18" s="74"/>
      <c r="F18" s="74"/>
    </row>
    <row r="19" spans="1:6" ht="27.95" customHeight="1" x14ac:dyDescent="0.25">
      <c r="B19" s="5" t="s">
        <v>337</v>
      </c>
      <c r="C19" s="88">
        <v>0.85</v>
      </c>
      <c r="D19" s="85"/>
      <c r="E19" s="5" t="s">
        <v>327</v>
      </c>
      <c r="F19" s="33" t="s">
        <v>338</v>
      </c>
    </row>
  </sheetData>
  <mergeCells count="5">
    <mergeCell ref="A2:F2"/>
    <mergeCell ref="A1:F1"/>
    <mergeCell ref="C19:D19"/>
    <mergeCell ref="A18:F18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>
      <selection sqref="A1:I1"/>
    </sheetView>
  </sheetViews>
  <sheetFormatPr defaultRowHeight="15" x14ac:dyDescent="0.25"/>
  <cols>
    <col min="1" max="1" width="3" customWidth="1"/>
    <col min="2" max="2" width="34" customWidth="1"/>
    <col min="3" max="8" width="12" customWidth="1"/>
    <col min="9" max="9" width="30" customWidth="1"/>
  </cols>
  <sheetData>
    <row r="1" spans="1:10" ht="26.1" customHeight="1" x14ac:dyDescent="0.25">
      <c r="A1" s="78" t="s">
        <v>339</v>
      </c>
      <c r="B1" s="74"/>
      <c r="C1" s="74"/>
      <c r="D1" s="74"/>
      <c r="E1" s="74"/>
      <c r="F1" s="74"/>
      <c r="G1" s="74"/>
      <c r="H1" s="74"/>
      <c r="I1" s="74"/>
    </row>
    <row r="2" spans="1:10" ht="18" customHeight="1" x14ac:dyDescent="0.25">
      <c r="A2" s="77" t="s">
        <v>340</v>
      </c>
      <c r="B2" s="74"/>
      <c r="C2" s="74"/>
      <c r="D2" s="74"/>
      <c r="E2" s="74"/>
      <c r="F2" s="74"/>
      <c r="G2" s="74"/>
      <c r="H2" s="74"/>
      <c r="I2" s="74"/>
    </row>
    <row r="4" spans="1:10" x14ac:dyDescent="0.25">
      <c r="B4" s="4" t="s">
        <v>263</v>
      </c>
      <c r="C4" s="4" t="s">
        <v>265</v>
      </c>
      <c r="D4" s="4" t="s">
        <v>341</v>
      </c>
      <c r="E4" s="4" t="s">
        <v>342</v>
      </c>
      <c r="F4" s="4" t="s">
        <v>343</v>
      </c>
      <c r="G4" s="4" t="s">
        <v>344</v>
      </c>
      <c r="H4" s="4" t="s">
        <v>345</v>
      </c>
      <c r="I4" s="4" t="s">
        <v>346</v>
      </c>
    </row>
    <row r="5" spans="1:10" ht="15.95" customHeight="1" x14ac:dyDescent="0.25">
      <c r="A5" s="73" t="s">
        <v>347</v>
      </c>
      <c r="B5" s="74"/>
      <c r="C5" s="74"/>
      <c r="D5" s="74"/>
      <c r="E5" s="74"/>
      <c r="F5" s="74"/>
      <c r="G5" s="74"/>
      <c r="H5" s="74"/>
      <c r="I5" s="74"/>
    </row>
    <row r="6" spans="1:10" x14ac:dyDescent="0.25">
      <c r="B6" s="5" t="s">
        <v>348</v>
      </c>
      <c r="C6" s="34">
        <f>'Source Data'!D13</f>
        <v>34.4</v>
      </c>
      <c r="D6" s="35">
        <f>C6*(1+Assumptions!$F$12)</f>
        <v>34.744</v>
      </c>
      <c r="E6" s="35">
        <f>D6*(1+Assumptions!$F$12)</f>
        <v>35.091439999999999</v>
      </c>
      <c r="F6" s="35">
        <f>E6*(1+Assumptions!$F$12)</f>
        <v>35.442354399999999</v>
      </c>
      <c r="G6" s="35">
        <f>F6*(1+Assumptions!$F$12)</f>
        <v>35.796777943999999</v>
      </c>
      <c r="H6" s="35">
        <f>G6*(1+Assumptions!$F$12)</f>
        <v>36.154745723440001</v>
      </c>
      <c r="I6" s="24"/>
      <c r="J6" s="28" t="s">
        <v>349</v>
      </c>
    </row>
    <row r="7" spans="1:10" x14ac:dyDescent="0.25">
      <c r="B7" s="5" t="s">
        <v>350</v>
      </c>
      <c r="C7" s="36">
        <f>'Source Data'!D12</f>
        <v>0.53300000000000003</v>
      </c>
      <c r="D7" s="27">
        <f>MIN(C7+Assumptions!$F$15/100,0.95)</f>
        <v>0.55300000000000005</v>
      </c>
      <c r="E7" s="27">
        <f>MIN(D7+Assumptions!$F$15/100,0.95)</f>
        <v>0.57300000000000006</v>
      </c>
      <c r="F7" s="27">
        <f>MIN(E7+Assumptions!$F$15/100,0.95)</f>
        <v>0.59300000000000008</v>
      </c>
      <c r="G7" s="27">
        <f>MIN(F7+Assumptions!$F$15/100,0.95)</f>
        <v>0.6130000000000001</v>
      </c>
      <c r="H7" s="27">
        <f>MIN(G7+Assumptions!$F$15/100,0.95)</f>
        <v>0.63300000000000012</v>
      </c>
      <c r="I7" s="24"/>
      <c r="J7" s="28" t="s">
        <v>351</v>
      </c>
    </row>
    <row r="8" spans="1:10" x14ac:dyDescent="0.25">
      <c r="B8" s="5" t="s">
        <v>352</v>
      </c>
      <c r="C8" s="35">
        <f t="shared" ref="C8:H8" si="0">C6*C7</f>
        <v>18.3352</v>
      </c>
      <c r="D8" s="35">
        <f t="shared" si="0"/>
        <v>19.213432000000001</v>
      </c>
      <c r="E8" s="35">
        <f t="shared" si="0"/>
        <v>20.107395120000003</v>
      </c>
      <c r="F8" s="35">
        <f t="shared" si="0"/>
        <v>21.017316159200004</v>
      </c>
      <c r="G8" s="35">
        <f t="shared" si="0"/>
        <v>21.943424879672001</v>
      </c>
      <c r="H8" s="35">
        <f t="shared" si="0"/>
        <v>22.885954042937524</v>
      </c>
      <c r="I8" s="24"/>
      <c r="J8" s="28" t="s">
        <v>353</v>
      </c>
    </row>
    <row r="10" spans="1:10" ht="15.95" customHeight="1" x14ac:dyDescent="0.25">
      <c r="A10" s="73" t="s">
        <v>354</v>
      </c>
      <c r="B10" s="74"/>
      <c r="C10" s="74"/>
      <c r="D10" s="74"/>
      <c r="E10" s="74"/>
      <c r="F10" s="74"/>
      <c r="G10" s="74"/>
      <c r="H10" s="74"/>
      <c r="I10" s="74"/>
    </row>
    <row r="11" spans="1:10" x14ac:dyDescent="0.25">
      <c r="B11" s="5" t="s">
        <v>355</v>
      </c>
      <c r="C11" s="34">
        <f>'Source Data'!D14</f>
        <v>8.1</v>
      </c>
      <c r="D11" s="24"/>
      <c r="E11" s="24"/>
      <c r="F11" s="24"/>
      <c r="G11" s="24"/>
      <c r="H11" s="24"/>
      <c r="I11" s="24"/>
      <c r="J11" s="24"/>
    </row>
    <row r="12" spans="1:10" x14ac:dyDescent="0.25">
      <c r="B12" s="5" t="s">
        <v>356</v>
      </c>
      <c r="C12" s="34">
        <f>'Source Data'!D15</f>
        <v>6.4</v>
      </c>
      <c r="D12" s="24"/>
      <c r="E12" s="24"/>
      <c r="F12" s="24"/>
      <c r="G12" s="24"/>
      <c r="H12" s="24"/>
      <c r="I12" s="24"/>
      <c r="J12" s="24"/>
    </row>
    <row r="13" spans="1:10" x14ac:dyDescent="0.25">
      <c r="B13" s="5" t="s">
        <v>357</v>
      </c>
      <c r="C13" s="34">
        <f>'Source Data'!D16</f>
        <v>0.3</v>
      </c>
      <c r="D13" s="24"/>
      <c r="E13" s="24"/>
      <c r="F13" s="24"/>
      <c r="G13" s="24"/>
      <c r="H13" s="24"/>
      <c r="I13" s="24"/>
      <c r="J13" s="24"/>
    </row>
    <row r="14" spans="1:10" ht="27.95" customHeight="1" x14ac:dyDescent="0.25">
      <c r="B14" s="89" t="s">
        <v>358</v>
      </c>
      <c r="C14" s="74"/>
      <c r="D14" s="74"/>
      <c r="E14" s="74"/>
      <c r="F14" s="74"/>
      <c r="G14" s="74"/>
      <c r="H14" s="74"/>
      <c r="I14" s="74"/>
    </row>
  </sheetData>
  <mergeCells count="5">
    <mergeCell ref="A2:I2"/>
    <mergeCell ref="A10:I10"/>
    <mergeCell ref="A5:I5"/>
    <mergeCell ref="A1:I1"/>
    <mergeCell ref="B14:I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workbookViewId="0">
      <selection sqref="A1:I1"/>
    </sheetView>
  </sheetViews>
  <sheetFormatPr defaultRowHeight="15" x14ac:dyDescent="0.25"/>
  <cols>
    <col min="1" max="1" width="3" customWidth="1"/>
    <col min="2" max="2" width="34" customWidth="1"/>
    <col min="3" max="8" width="12" customWidth="1"/>
    <col min="9" max="9" width="34" customWidth="1"/>
  </cols>
  <sheetData>
    <row r="1" spans="1:10" ht="26.1" customHeight="1" x14ac:dyDescent="0.25">
      <c r="A1" s="78" t="s">
        <v>359</v>
      </c>
      <c r="B1" s="74"/>
      <c r="C1" s="74"/>
      <c r="D1" s="74"/>
      <c r="E1" s="74"/>
      <c r="F1" s="74"/>
      <c r="G1" s="74"/>
      <c r="H1" s="74"/>
      <c r="I1" s="74"/>
    </row>
    <row r="2" spans="1:10" ht="18" customHeight="1" x14ac:dyDescent="0.25">
      <c r="A2" s="77" t="s">
        <v>360</v>
      </c>
      <c r="B2" s="74"/>
      <c r="C2" s="74"/>
      <c r="D2" s="74"/>
      <c r="E2" s="74"/>
      <c r="F2" s="74"/>
      <c r="G2" s="74"/>
      <c r="H2" s="74"/>
      <c r="I2" s="74"/>
    </row>
    <row r="4" spans="1:10" x14ac:dyDescent="0.25">
      <c r="B4" s="4" t="s">
        <v>263</v>
      </c>
      <c r="C4" s="4" t="s">
        <v>265</v>
      </c>
      <c r="D4" s="4" t="s">
        <v>341</v>
      </c>
      <c r="E4" s="4" t="s">
        <v>342</v>
      </c>
      <c r="F4" s="4" t="s">
        <v>343</v>
      </c>
      <c r="G4" s="4" t="s">
        <v>344</v>
      </c>
      <c r="H4" s="4" t="s">
        <v>345</v>
      </c>
      <c r="I4" s="4" t="s">
        <v>346</v>
      </c>
    </row>
    <row r="5" spans="1:10" ht="15.95" customHeight="1" x14ac:dyDescent="0.25">
      <c r="A5" s="73" t="s">
        <v>361</v>
      </c>
      <c r="B5" s="74"/>
      <c r="C5" s="74"/>
      <c r="D5" s="74"/>
      <c r="E5" s="74"/>
      <c r="F5" s="74"/>
      <c r="G5" s="74"/>
      <c r="H5" s="74"/>
      <c r="I5" s="74"/>
    </row>
    <row r="6" spans="1:10" x14ac:dyDescent="0.25">
      <c r="B6" s="5" t="s">
        <v>348</v>
      </c>
      <c r="C6" s="34">
        <f>'Operating Drivers'!C6</f>
        <v>34.4</v>
      </c>
      <c r="D6" s="34">
        <f>'Operating Drivers'!D6</f>
        <v>34.744</v>
      </c>
      <c r="E6" s="34">
        <f>'Operating Drivers'!E6</f>
        <v>35.091439999999999</v>
      </c>
      <c r="F6" s="34">
        <f>'Operating Drivers'!F6</f>
        <v>35.442354399999999</v>
      </c>
      <c r="G6" s="34">
        <f>'Operating Drivers'!G6</f>
        <v>35.796777943999999</v>
      </c>
      <c r="H6" s="34">
        <f>'Operating Drivers'!H6</f>
        <v>36.154745723440001</v>
      </c>
      <c r="I6" s="24"/>
      <c r="J6" s="24"/>
    </row>
    <row r="8" spans="1:10" ht="15.95" customHeight="1" x14ac:dyDescent="0.25">
      <c r="A8" s="73" t="s">
        <v>362</v>
      </c>
      <c r="B8" s="74"/>
      <c r="C8" s="74"/>
      <c r="D8" s="74"/>
      <c r="E8" s="74"/>
      <c r="F8" s="74"/>
      <c r="G8" s="74"/>
      <c r="H8" s="74"/>
      <c r="I8" s="74"/>
    </row>
    <row r="9" spans="1:10" x14ac:dyDescent="0.25">
      <c r="B9" s="5" t="s">
        <v>363</v>
      </c>
      <c r="C9" s="37">
        <f>'Source Data'!D6-'Source Data'!D9</f>
        <v>52.9</v>
      </c>
      <c r="D9" s="24"/>
      <c r="E9" s="24"/>
      <c r="F9" s="24"/>
      <c r="G9" s="24"/>
      <c r="H9" s="24"/>
      <c r="I9" s="24"/>
      <c r="J9" s="24"/>
    </row>
    <row r="10" spans="1:10" x14ac:dyDescent="0.25">
      <c r="B10" s="5" t="s">
        <v>364</v>
      </c>
      <c r="C10" s="38">
        <f>C9*1000000000/(C6*1000000)/12</f>
        <v>128.14922480620154</v>
      </c>
      <c r="D10" s="38">
        <f>C10*(1+Assumptions!$F$13)</f>
        <v>126.86773255813952</v>
      </c>
      <c r="E10" s="38">
        <f>D10*(1+Assumptions!$F$13)</f>
        <v>125.59905523255813</v>
      </c>
      <c r="F10" s="38">
        <f>E10*(1+Assumptions!$F$13)</f>
        <v>124.34306468023254</v>
      </c>
      <c r="G10" s="38">
        <f>F10*(1+Assumptions!$F$13)</f>
        <v>123.09963403343022</v>
      </c>
      <c r="H10" s="38">
        <f>G10*(1+Assumptions!$F$13)</f>
        <v>121.86863769309592</v>
      </c>
      <c r="I10" s="24"/>
      <c r="J10" s="28" t="s">
        <v>365</v>
      </c>
    </row>
    <row r="11" spans="1:10" x14ac:dyDescent="0.25">
      <c r="B11" s="5" t="s">
        <v>366</v>
      </c>
      <c r="C11" s="39">
        <f t="shared" ref="C11:H11" si="0">C6*C10*12/1000</f>
        <v>52.9</v>
      </c>
      <c r="D11" s="39">
        <f t="shared" si="0"/>
        <v>52.894709999999996</v>
      </c>
      <c r="E11" s="39">
        <f t="shared" si="0"/>
        <v>52.889420528999999</v>
      </c>
      <c r="F11" s="39">
        <f t="shared" si="0"/>
        <v>52.884131586947099</v>
      </c>
      <c r="G11" s="39">
        <f t="shared" si="0"/>
        <v>52.878843173788404</v>
      </c>
      <c r="H11" s="39">
        <f t="shared" si="0"/>
        <v>52.873555289471028</v>
      </c>
      <c r="I11" s="24"/>
      <c r="J11" s="28" t="s">
        <v>367</v>
      </c>
    </row>
    <row r="13" spans="1:10" ht="15.95" customHeight="1" x14ac:dyDescent="0.25">
      <c r="A13" s="73" t="s">
        <v>368</v>
      </c>
      <c r="B13" s="74"/>
      <c r="C13" s="74"/>
      <c r="D13" s="74"/>
      <c r="E13" s="74"/>
      <c r="F13" s="74"/>
      <c r="G13" s="74"/>
      <c r="H13" s="74"/>
      <c r="I13" s="74"/>
    </row>
    <row r="14" spans="1:10" x14ac:dyDescent="0.25">
      <c r="B14" s="5" t="s">
        <v>369</v>
      </c>
      <c r="C14" s="37">
        <f>'Source Data'!D9</f>
        <v>3</v>
      </c>
      <c r="D14" s="39">
        <f>C14*(1+Assumptions!$F$14)</f>
        <v>4.6500000000000004</v>
      </c>
      <c r="E14" s="39">
        <f>D14*(1+Assumptions!$F$14)</f>
        <v>7.2075000000000005</v>
      </c>
      <c r="F14" s="39">
        <f>E14*(1+Assumptions!$F$14)</f>
        <v>11.171625000000001</v>
      </c>
      <c r="G14" s="39">
        <f>F14*(1+Assumptions!$F$14)</f>
        <v>17.316018750000001</v>
      </c>
      <c r="H14" s="39">
        <f>G14*(1+Assumptions!$F$14)</f>
        <v>26.839829062500002</v>
      </c>
      <c r="I14" s="24"/>
      <c r="J14" s="28" t="s">
        <v>370</v>
      </c>
    </row>
  </sheetData>
  <mergeCells count="5">
    <mergeCell ref="A2:I2"/>
    <mergeCell ref="A5:I5"/>
    <mergeCell ref="A13:I13"/>
    <mergeCell ref="A1:I1"/>
    <mergeCell ref="A8:I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"/>
  <sheetViews>
    <sheetView workbookViewId="0">
      <selection sqref="A1:I1"/>
    </sheetView>
  </sheetViews>
  <sheetFormatPr defaultRowHeight="15" x14ac:dyDescent="0.25"/>
  <cols>
    <col min="1" max="1" width="3" customWidth="1"/>
    <col min="2" max="2" width="34" customWidth="1"/>
    <col min="3" max="8" width="12" customWidth="1"/>
    <col min="9" max="9" width="34" customWidth="1"/>
  </cols>
  <sheetData>
    <row r="1" spans="1:10" ht="26.1" customHeight="1" x14ac:dyDescent="0.25">
      <c r="A1" s="78" t="s">
        <v>371</v>
      </c>
      <c r="B1" s="74"/>
      <c r="C1" s="74"/>
      <c r="D1" s="74"/>
      <c r="E1" s="74"/>
      <c r="F1" s="74"/>
      <c r="G1" s="74"/>
      <c r="H1" s="74"/>
      <c r="I1" s="74"/>
    </row>
    <row r="2" spans="1:10" ht="18" customHeight="1" x14ac:dyDescent="0.25">
      <c r="A2" s="77" t="s">
        <v>372</v>
      </c>
      <c r="B2" s="74"/>
      <c r="C2" s="74"/>
      <c r="D2" s="74"/>
      <c r="E2" s="74"/>
      <c r="F2" s="74"/>
      <c r="G2" s="74"/>
      <c r="H2" s="74"/>
      <c r="I2" s="74"/>
    </row>
    <row r="4" spans="1:10" x14ac:dyDescent="0.25">
      <c r="B4" s="4" t="s">
        <v>263</v>
      </c>
      <c r="C4" s="4" t="s">
        <v>265</v>
      </c>
      <c r="D4" s="4" t="s">
        <v>341</v>
      </c>
      <c r="E4" s="4" t="s">
        <v>342</v>
      </c>
      <c r="F4" s="4" t="s">
        <v>343</v>
      </c>
      <c r="G4" s="4" t="s">
        <v>344</v>
      </c>
      <c r="H4" s="4" t="s">
        <v>345</v>
      </c>
      <c r="I4" s="4" t="s">
        <v>346</v>
      </c>
    </row>
    <row r="5" spans="1:10" ht="15.95" customHeight="1" x14ac:dyDescent="0.25">
      <c r="A5" s="73" t="s">
        <v>373</v>
      </c>
      <c r="B5" s="74"/>
      <c r="C5" s="74"/>
      <c r="D5" s="74"/>
      <c r="E5" s="74"/>
      <c r="F5" s="74"/>
      <c r="G5" s="74"/>
      <c r="H5" s="74"/>
      <c r="I5" s="74"/>
    </row>
    <row r="6" spans="1:10" x14ac:dyDescent="0.25">
      <c r="B6" s="5" t="s">
        <v>374</v>
      </c>
      <c r="C6" s="37">
        <f>'Subscriber &amp; ARPU Fcst'!C11</f>
        <v>52.9</v>
      </c>
      <c r="D6" s="37">
        <f>'Subscriber &amp; ARPU Fcst'!D11</f>
        <v>52.894709999999996</v>
      </c>
      <c r="E6" s="37">
        <f>'Subscriber &amp; ARPU Fcst'!E11</f>
        <v>52.889420528999999</v>
      </c>
      <c r="F6" s="37">
        <f>'Subscriber &amp; ARPU Fcst'!F11</f>
        <v>52.884131586947099</v>
      </c>
      <c r="G6" s="37">
        <f>'Subscriber &amp; ARPU Fcst'!G11</f>
        <v>52.878843173788404</v>
      </c>
      <c r="H6" s="37">
        <f>'Subscriber &amp; ARPU Fcst'!H11</f>
        <v>52.873555289471028</v>
      </c>
      <c r="I6" s="24"/>
      <c r="J6" s="24"/>
    </row>
    <row r="7" spans="1:10" x14ac:dyDescent="0.25">
      <c r="B7" s="5" t="s">
        <v>274</v>
      </c>
      <c r="C7" s="37">
        <f>'Subscriber &amp; ARPU Fcst'!C14</f>
        <v>3</v>
      </c>
      <c r="D7" s="37">
        <f>'Subscriber &amp; ARPU Fcst'!D14</f>
        <v>4.6500000000000004</v>
      </c>
      <c r="E7" s="37">
        <f>'Subscriber &amp; ARPU Fcst'!E14</f>
        <v>7.2075000000000005</v>
      </c>
      <c r="F7" s="37">
        <f>'Subscriber &amp; ARPU Fcst'!F14</f>
        <v>11.171625000000001</v>
      </c>
      <c r="G7" s="37">
        <f>'Subscriber &amp; ARPU Fcst'!G14</f>
        <v>17.316018750000001</v>
      </c>
      <c r="H7" s="37">
        <f>'Subscriber &amp; ARPU Fcst'!H14</f>
        <v>26.839829062500002</v>
      </c>
      <c r="I7" s="24"/>
      <c r="J7" s="24"/>
    </row>
    <row r="8" spans="1:10" x14ac:dyDescent="0.25">
      <c r="B8" s="40" t="s">
        <v>375</v>
      </c>
      <c r="C8" s="41">
        <f t="shared" ref="C8:H8" si="0">C6+C7</f>
        <v>55.9</v>
      </c>
      <c r="D8" s="41">
        <f t="shared" si="0"/>
        <v>57.544709999999995</v>
      </c>
      <c r="E8" s="41">
        <f t="shared" si="0"/>
        <v>60.096920529000002</v>
      </c>
      <c r="F8" s="41">
        <f t="shared" si="0"/>
        <v>64.055756586947098</v>
      </c>
      <c r="G8" s="41">
        <f t="shared" si="0"/>
        <v>70.194861923788409</v>
      </c>
      <c r="H8" s="41">
        <f t="shared" si="0"/>
        <v>79.71338435197103</v>
      </c>
      <c r="I8" s="24"/>
      <c r="J8" s="24"/>
    </row>
    <row r="9" spans="1:10" x14ac:dyDescent="0.25">
      <c r="B9" s="5" t="s">
        <v>376</v>
      </c>
      <c r="C9" s="42">
        <f>C8*1000/Assumptions!$F$8</f>
        <v>459.3262119967132</v>
      </c>
      <c r="D9" s="42">
        <f>D8*1000/Assumptions!$F$8</f>
        <v>472.84067378800319</v>
      </c>
      <c r="E9" s="42">
        <f>E8*1000/Assumptions!$F$8</f>
        <v>493.81200105998357</v>
      </c>
      <c r="F9" s="42">
        <f>F8*1000/Assumptions!$F$8</f>
        <v>526.34146743588417</v>
      </c>
      <c r="G9" s="42">
        <f>G8*1000/Assumptions!$F$8</f>
        <v>576.78604703195083</v>
      </c>
      <c r="H9" s="42">
        <f>H8*1000/Assumptions!$F$8</f>
        <v>654.99904972860338</v>
      </c>
      <c r="I9" s="24"/>
      <c r="J9" s="28" t="s">
        <v>377</v>
      </c>
    </row>
    <row r="10" spans="1:10" x14ac:dyDescent="0.25">
      <c r="B10" s="5" t="s">
        <v>378</v>
      </c>
      <c r="C10" s="24"/>
      <c r="D10" s="27">
        <f>D8/C8-1</f>
        <v>2.9422361359570548E-2</v>
      </c>
      <c r="E10" s="27">
        <f>E8/D8-1</f>
        <v>4.4351783665258049E-2</v>
      </c>
      <c r="F10" s="27">
        <f>F8/E8-1</f>
        <v>6.5874191607484089E-2</v>
      </c>
      <c r="G10" s="27">
        <f>G8/F8-1</f>
        <v>9.5840025377083693E-2</v>
      </c>
      <c r="H10" s="27">
        <f>H8/G8-1</f>
        <v>0.13560141251530666</v>
      </c>
      <c r="I10" s="24"/>
      <c r="J10" s="24"/>
    </row>
    <row r="12" spans="1:10" ht="15.95" customHeight="1" x14ac:dyDescent="0.25">
      <c r="A12" s="73" t="s">
        <v>379</v>
      </c>
      <c r="B12" s="74"/>
      <c r="C12" s="74"/>
      <c r="D12" s="74"/>
      <c r="E12" s="74"/>
      <c r="F12" s="74"/>
      <c r="G12" s="74"/>
      <c r="H12" s="74"/>
      <c r="I12" s="74"/>
    </row>
    <row r="13" spans="1:10" x14ac:dyDescent="0.25">
      <c r="B13" s="5" t="s">
        <v>380</v>
      </c>
      <c r="C13" s="39">
        <f>C8-'Source Data'!D6</f>
        <v>0</v>
      </c>
      <c r="D13" s="24"/>
      <c r="E13" s="24"/>
      <c r="F13" s="24"/>
      <c r="G13" s="24"/>
      <c r="H13" s="24"/>
      <c r="I13" s="24"/>
      <c r="J13" s="25" t="s">
        <v>381</v>
      </c>
    </row>
  </sheetData>
  <mergeCells count="4">
    <mergeCell ref="A1:I1"/>
    <mergeCell ref="A5:I5"/>
    <mergeCell ref="A2:I2"/>
    <mergeCell ref="A12:I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>
      <selection activeCell="I17" sqref="A1:XFD1048576"/>
    </sheetView>
  </sheetViews>
  <sheetFormatPr defaultRowHeight="15" x14ac:dyDescent="0.25"/>
  <cols>
    <col min="1" max="1" width="3" customWidth="1"/>
    <col min="2" max="2" width="53.28515625" bestFit="1" customWidth="1"/>
    <col min="3" max="3" width="8.5703125" bestFit="1" customWidth="1"/>
    <col min="4" max="8" width="8.42578125" bestFit="1" customWidth="1"/>
    <col min="9" max="9" width="6" bestFit="1" customWidth="1"/>
    <col min="10" max="10" width="156.140625" bestFit="1" customWidth="1"/>
  </cols>
  <sheetData>
    <row r="1" spans="1:10" ht="26.1" customHeight="1" x14ac:dyDescent="0.25">
      <c r="A1" s="78" t="s">
        <v>382</v>
      </c>
      <c r="B1" s="74"/>
      <c r="C1" s="74"/>
      <c r="D1" s="74"/>
      <c r="E1" s="74"/>
      <c r="F1" s="74"/>
      <c r="G1" s="74"/>
      <c r="H1" s="74"/>
      <c r="I1" s="74"/>
    </row>
    <row r="2" spans="1:10" ht="18" customHeight="1" x14ac:dyDescent="0.25">
      <c r="A2" s="77" t="s">
        <v>383</v>
      </c>
      <c r="B2" s="74"/>
      <c r="C2" s="74"/>
      <c r="D2" s="74"/>
      <c r="E2" s="74"/>
      <c r="F2" s="74"/>
      <c r="G2" s="74"/>
      <c r="H2" s="74"/>
      <c r="I2" s="74"/>
    </row>
    <row r="4" spans="1:10" x14ac:dyDescent="0.25">
      <c r="B4" s="4" t="s">
        <v>263</v>
      </c>
      <c r="C4" s="4" t="s">
        <v>265</v>
      </c>
      <c r="D4" s="4" t="s">
        <v>341</v>
      </c>
      <c r="E4" s="4" t="s">
        <v>342</v>
      </c>
      <c r="F4" s="4" t="s">
        <v>343</v>
      </c>
      <c r="G4" s="4" t="s">
        <v>344</v>
      </c>
      <c r="H4" s="4" t="s">
        <v>345</v>
      </c>
      <c r="I4" s="4" t="s">
        <v>346</v>
      </c>
    </row>
    <row r="5" spans="1:10" ht="15.95" customHeight="1" x14ac:dyDescent="0.25">
      <c r="A5" s="73" t="s">
        <v>384</v>
      </c>
      <c r="B5" s="74"/>
      <c r="C5" s="74"/>
      <c r="D5" s="74"/>
      <c r="E5" s="74"/>
      <c r="F5" s="74"/>
      <c r="G5" s="74"/>
      <c r="H5" s="74"/>
      <c r="I5" s="74"/>
    </row>
    <row r="6" spans="1:10" x14ac:dyDescent="0.25">
      <c r="B6" s="5" t="s">
        <v>385</v>
      </c>
      <c r="C6" s="36">
        <f>'Source Data'!C8</f>
        <v>0.34673366834170849</v>
      </c>
      <c r="D6" s="24"/>
      <c r="E6" s="24"/>
      <c r="F6" s="24"/>
      <c r="G6" s="24"/>
      <c r="H6" s="24"/>
      <c r="I6" s="24"/>
      <c r="J6" s="24"/>
    </row>
    <row r="7" spans="1:10" x14ac:dyDescent="0.25">
      <c r="B7" s="5" t="s">
        <v>386</v>
      </c>
      <c r="C7" s="36">
        <f>'Source Data'!D8</f>
        <v>0.49194991055456172</v>
      </c>
      <c r="D7" s="24"/>
      <c r="E7" s="24"/>
      <c r="F7" s="24"/>
      <c r="G7" s="24"/>
      <c r="H7" s="24"/>
      <c r="I7" s="24"/>
      <c r="J7" s="24"/>
    </row>
    <row r="9" spans="1:10" ht="15.95" customHeight="1" x14ac:dyDescent="0.25">
      <c r="A9" s="73" t="s">
        <v>387</v>
      </c>
      <c r="B9" s="74"/>
      <c r="C9" s="74"/>
      <c r="D9" s="74"/>
      <c r="E9" s="74"/>
      <c r="F9" s="74"/>
      <c r="G9" s="74"/>
      <c r="H9" s="74"/>
      <c r="I9" s="74"/>
    </row>
    <row r="10" spans="1:10" x14ac:dyDescent="0.25">
      <c r="B10" s="5" t="s">
        <v>388</v>
      </c>
      <c r="C10" s="27">
        <f>C6+(C7-C6)*Assumptions!$F$17</f>
        <v>0.47742828633327639</v>
      </c>
      <c r="D10" s="24"/>
      <c r="E10" s="24"/>
      <c r="F10" s="24"/>
      <c r="G10" s="24"/>
      <c r="H10" s="24"/>
      <c r="I10" s="24"/>
      <c r="J10" s="28" t="s">
        <v>389</v>
      </c>
    </row>
    <row r="11" spans="1:10" x14ac:dyDescent="0.25">
      <c r="B11" s="5" t="s">
        <v>390</v>
      </c>
      <c r="C11" s="27">
        <f>C10</f>
        <v>0.47742828633327639</v>
      </c>
      <c r="D11" s="27">
        <f>$C$10+(Assumptions!$F$18-$C$10)*1/5</f>
        <v>0.4759426290666211</v>
      </c>
      <c r="E11" s="27">
        <f>$C$10+(Assumptions!$F$18-$C$10)*2/5</f>
        <v>0.47445697179996582</v>
      </c>
      <c r="F11" s="27">
        <f>$C$10+(Assumptions!$F$18-$C$10)*3/5</f>
        <v>0.47297131453331054</v>
      </c>
      <c r="G11" s="27">
        <f>$C$10+(Assumptions!$F$18-$C$10)*4/5</f>
        <v>0.47148565726665526</v>
      </c>
      <c r="H11" s="27">
        <f>$C$10+(Assumptions!$F$18-$C$10)*5/5</f>
        <v>0.47</v>
      </c>
      <c r="I11" s="24"/>
      <c r="J11" s="28" t="s">
        <v>391</v>
      </c>
    </row>
    <row r="13" spans="1:10" ht="15.95" customHeight="1" x14ac:dyDescent="0.25">
      <c r="A13" s="73" t="s">
        <v>392</v>
      </c>
      <c r="B13" s="74"/>
      <c r="C13" s="74"/>
      <c r="D13" s="74"/>
      <c r="E13" s="74"/>
      <c r="F13" s="74"/>
      <c r="G13" s="74"/>
      <c r="H13" s="74"/>
      <c r="I13" s="74"/>
    </row>
    <row r="14" spans="1:10" x14ac:dyDescent="0.25">
      <c r="B14" s="5" t="s">
        <v>393</v>
      </c>
      <c r="C14" s="37">
        <f>'Revenue Build'!C8</f>
        <v>55.9</v>
      </c>
      <c r="D14" s="37">
        <f>'Revenue Build'!D8</f>
        <v>57.544709999999995</v>
      </c>
      <c r="E14" s="37">
        <f>'Revenue Build'!E8</f>
        <v>60.096920529000002</v>
      </c>
      <c r="F14" s="37">
        <f>'Revenue Build'!F8</f>
        <v>64.055756586947098</v>
      </c>
      <c r="G14" s="37">
        <f>'Revenue Build'!G8</f>
        <v>70.194861923788409</v>
      </c>
      <c r="H14" s="37">
        <f>'Revenue Build'!H8</f>
        <v>79.71338435197103</v>
      </c>
      <c r="I14" s="24"/>
      <c r="J14" s="24"/>
    </row>
    <row r="15" spans="1:10" x14ac:dyDescent="0.25">
      <c r="B15" s="40" t="s">
        <v>394</v>
      </c>
      <c r="C15" s="43">
        <f>'Source Data'!D7</f>
        <v>27.5</v>
      </c>
      <c r="D15" s="41">
        <f>D14*D11</f>
        <v>27.38798056627628</v>
      </c>
      <c r="E15" s="41">
        <f>E14*E11</f>
        <v>28.513402928692543</v>
      </c>
      <c r="F15" s="41">
        <f>F14*F11</f>
        <v>30.296535396354134</v>
      </c>
      <c r="G15" s="41">
        <f>G14*G11</f>
        <v>33.095870610879494</v>
      </c>
      <c r="H15" s="41">
        <f>H14*H11</f>
        <v>37.465290645426379</v>
      </c>
      <c r="I15" s="24"/>
      <c r="J15" s="28" t="s">
        <v>395</v>
      </c>
    </row>
    <row r="16" spans="1:10" x14ac:dyDescent="0.25">
      <c r="B16" s="5" t="s">
        <v>396</v>
      </c>
      <c r="C16" s="42">
        <f>C15*1000/Assumptions!$F$8</f>
        <v>225.96548890714871</v>
      </c>
      <c r="D16" s="42">
        <f>D15*1000/Assumptions!$F$8</f>
        <v>225.04503341229483</v>
      </c>
      <c r="E16" s="42">
        <f>E15*1000/Assumptions!$F$8</f>
        <v>234.29254666140133</v>
      </c>
      <c r="F16" s="42">
        <f>F15*1000/Assumptions!$F$8</f>
        <v>248.94441574654178</v>
      </c>
      <c r="G16" s="42">
        <f>G15*1000/Assumptions!$F$8</f>
        <v>271.94634848709524</v>
      </c>
      <c r="H16" s="42">
        <f>H15*1000/Assumptions!$F$8</f>
        <v>307.84955337244355</v>
      </c>
      <c r="I16" s="24"/>
      <c r="J16" s="24"/>
    </row>
    <row r="17" spans="2:10" x14ac:dyDescent="0.25">
      <c r="B17" s="5" t="s">
        <v>397</v>
      </c>
      <c r="C17" s="24"/>
      <c r="D17" s="27">
        <f>D15/C15-1</f>
        <v>-4.0734339535898334E-3</v>
      </c>
      <c r="E17" s="27">
        <f>E15/D15-1</f>
        <v>4.109183441593478E-2</v>
      </c>
      <c r="F17" s="27">
        <f>F15/E15-1</f>
        <v>6.2536641877538157E-2</v>
      </c>
      <c r="G17" s="27">
        <f>G15/F15-1</f>
        <v>9.2397865891366227E-2</v>
      </c>
      <c r="H17" s="27">
        <f>H15/G15-1</f>
        <v>0.13202311810798961</v>
      </c>
      <c r="I17" s="24"/>
      <c r="J17" s="24"/>
    </row>
  </sheetData>
  <mergeCells count="5">
    <mergeCell ref="A2:I2"/>
    <mergeCell ref="A5:I5"/>
    <mergeCell ref="A13:I13"/>
    <mergeCell ref="A1:I1"/>
    <mergeCell ref="A9:I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8"/>
  <sheetViews>
    <sheetView workbookViewId="0">
      <selection activeCell="G26" sqref="G26"/>
    </sheetView>
  </sheetViews>
  <sheetFormatPr defaultRowHeight="15" x14ac:dyDescent="0.25"/>
  <cols>
    <col min="1" max="1" width="3" customWidth="1"/>
    <col min="2" max="2" width="55.28515625" bestFit="1" customWidth="1"/>
    <col min="3" max="3" width="31.85546875" bestFit="1" customWidth="1"/>
    <col min="4" max="8" width="8.42578125" bestFit="1" customWidth="1"/>
    <col min="9" max="9" width="47.5703125" customWidth="1"/>
    <col min="10" max="10" width="140.5703125" bestFit="1" customWidth="1"/>
  </cols>
  <sheetData>
    <row r="1" spans="1:10" ht="26.1" customHeight="1" x14ac:dyDescent="0.25">
      <c r="A1" s="78" t="s">
        <v>398</v>
      </c>
      <c r="B1" s="74"/>
      <c r="C1" s="74"/>
      <c r="D1" s="74"/>
      <c r="E1" s="74"/>
      <c r="F1" s="74"/>
      <c r="G1" s="74"/>
      <c r="H1" s="74"/>
      <c r="I1" s="74"/>
    </row>
    <row r="2" spans="1:10" ht="18" customHeight="1" x14ac:dyDescent="0.25">
      <c r="A2" s="77" t="s">
        <v>399</v>
      </c>
      <c r="B2" s="74"/>
      <c r="C2" s="74"/>
      <c r="D2" s="74"/>
      <c r="E2" s="74"/>
      <c r="F2" s="74"/>
      <c r="G2" s="74"/>
      <c r="H2" s="74"/>
      <c r="I2" s="74"/>
    </row>
    <row r="4" spans="1:10" x14ac:dyDescent="0.25">
      <c r="B4" s="4" t="s">
        <v>263</v>
      </c>
      <c r="C4" s="4" t="s">
        <v>265</v>
      </c>
      <c r="D4" s="4" t="s">
        <v>341</v>
      </c>
      <c r="E4" s="4" t="s">
        <v>342</v>
      </c>
      <c r="F4" s="4" t="s">
        <v>343</v>
      </c>
      <c r="G4" s="4" t="s">
        <v>344</v>
      </c>
      <c r="H4" s="4" t="s">
        <v>345</v>
      </c>
      <c r="I4" s="4" t="s">
        <v>346</v>
      </c>
    </row>
    <row r="5" spans="1:10" ht="15.95" customHeight="1" x14ac:dyDescent="0.25">
      <c r="A5" s="73" t="s">
        <v>400</v>
      </c>
      <c r="B5" s="74"/>
      <c r="C5" s="74"/>
      <c r="D5" s="74"/>
      <c r="E5" s="74"/>
      <c r="F5" s="74"/>
      <c r="G5" s="74"/>
      <c r="H5" s="74"/>
      <c r="I5" s="74"/>
    </row>
    <row r="6" spans="1:10" ht="30" customHeight="1" x14ac:dyDescent="0.25">
      <c r="B6" s="5" t="s">
        <v>401</v>
      </c>
      <c r="C6" s="36">
        <f>'Source Data'!D10</f>
        <v>-0.41299999999999998</v>
      </c>
      <c r="D6" s="24"/>
      <c r="E6" s="24"/>
      <c r="F6" s="24"/>
      <c r="G6" s="24"/>
      <c r="H6" s="24"/>
      <c r="I6" s="24"/>
      <c r="J6" s="29" t="s">
        <v>402</v>
      </c>
    </row>
    <row r="8" spans="1:10" ht="15.95" customHeight="1" x14ac:dyDescent="0.25">
      <c r="A8" s="73" t="s">
        <v>403</v>
      </c>
      <c r="B8" s="74"/>
      <c r="C8" s="74"/>
      <c r="D8" s="74"/>
      <c r="E8" s="74"/>
      <c r="F8" s="74"/>
      <c r="G8" s="74"/>
      <c r="H8" s="74"/>
      <c r="I8" s="74"/>
    </row>
    <row r="9" spans="1:10" x14ac:dyDescent="0.25">
      <c r="B9" s="5" t="s">
        <v>404</v>
      </c>
      <c r="C9" s="37">
        <f>'Revenue Build'!C8</f>
        <v>55.9</v>
      </c>
      <c r="D9" s="37">
        <f>'Revenue Build'!D8</f>
        <v>57.544709999999995</v>
      </c>
      <c r="E9" s="37">
        <f>'Revenue Build'!E8</f>
        <v>60.096920529000002</v>
      </c>
      <c r="F9" s="37">
        <f>'Revenue Build'!F8</f>
        <v>64.055756586947098</v>
      </c>
      <c r="G9" s="37">
        <f>'Revenue Build'!G8</f>
        <v>70.194861923788409</v>
      </c>
      <c r="H9" s="37">
        <f>'Revenue Build'!H8</f>
        <v>79.71338435197103</v>
      </c>
      <c r="I9" s="24"/>
      <c r="J9" s="24"/>
    </row>
    <row r="10" spans="1:10" x14ac:dyDescent="0.25">
      <c r="B10" s="5" t="s">
        <v>405</v>
      </c>
      <c r="C10" s="30" t="s">
        <v>406</v>
      </c>
      <c r="D10" s="39">
        <f>D9*Assumptions!$F$20</f>
        <v>9.2071535999999998</v>
      </c>
      <c r="E10" s="39">
        <f>E9*Assumptions!$F$20</f>
        <v>9.6155072846400014</v>
      </c>
      <c r="F10" s="39">
        <f>F9*Assumptions!$F$20</f>
        <v>10.248921053911536</v>
      </c>
      <c r="G10" s="39">
        <f>G9*Assumptions!$F$20</f>
        <v>11.231177907806146</v>
      </c>
      <c r="H10" s="39">
        <f>H9*Assumptions!$F$20</f>
        <v>12.754141496315365</v>
      </c>
      <c r="I10" s="24"/>
      <c r="J10" s="24"/>
    </row>
    <row r="11" spans="1:10" x14ac:dyDescent="0.25">
      <c r="B11" s="5" t="s">
        <v>407</v>
      </c>
      <c r="C11" s="30" t="s">
        <v>408</v>
      </c>
      <c r="D11" s="39">
        <f>D9*Assumptions!$F$21</f>
        <v>1.1508942</v>
      </c>
      <c r="E11" s="39">
        <f>E9*Assumptions!$F$21</f>
        <v>1.2019384105800002</v>
      </c>
      <c r="F11" s="39">
        <f>F9*Assumptions!$F$21</f>
        <v>1.281115131738942</v>
      </c>
      <c r="G11" s="39">
        <f>G9*Assumptions!$F$21</f>
        <v>1.4038972384757682</v>
      </c>
      <c r="H11" s="39">
        <f>H9*Assumptions!$F$21</f>
        <v>1.5942676870394206</v>
      </c>
      <c r="I11" s="24"/>
      <c r="J11" s="24"/>
    </row>
    <row r="12" spans="1:10" x14ac:dyDescent="0.25">
      <c r="B12" s="5" t="s">
        <v>409</v>
      </c>
      <c r="C12" s="39">
        <v>0</v>
      </c>
      <c r="D12" s="39">
        <v>0</v>
      </c>
      <c r="E12" s="39">
        <v>0</v>
      </c>
      <c r="F12" s="39">
        <f>Assumptions!$F$22*Assumptions!$F$8/1000</f>
        <v>2.4340000000000002</v>
      </c>
      <c r="G12" s="39">
        <f>Assumptions!$F$22*Assumptions!$F$8/1000</f>
        <v>2.4340000000000002</v>
      </c>
      <c r="H12" s="39">
        <f>Assumptions!$F$22*Assumptions!$F$8/1000</f>
        <v>2.4340000000000002</v>
      </c>
      <c r="I12" s="24"/>
      <c r="J12" s="28" t="s">
        <v>410</v>
      </c>
    </row>
    <row r="13" spans="1:10" x14ac:dyDescent="0.25">
      <c r="B13" s="40" t="s">
        <v>411</v>
      </c>
      <c r="C13" s="30" t="s">
        <v>408</v>
      </c>
      <c r="D13" s="41">
        <f>D10+D11+D12</f>
        <v>10.3580478</v>
      </c>
      <c r="E13" s="41">
        <f>E10+E11+E12</f>
        <v>10.817445695220002</v>
      </c>
      <c r="F13" s="41">
        <f>F10+F11+F12</f>
        <v>13.964036185650478</v>
      </c>
      <c r="G13" s="41">
        <f>G10+G11+G12</f>
        <v>15.069075146281914</v>
      </c>
      <c r="H13" s="41">
        <f>H10+H11+H12</f>
        <v>16.782409183354787</v>
      </c>
      <c r="I13" s="24"/>
      <c r="J13" s="24"/>
    </row>
    <row r="14" spans="1:10" x14ac:dyDescent="0.25">
      <c r="B14" s="5" t="s">
        <v>412</v>
      </c>
      <c r="C14" s="30" t="s">
        <v>408</v>
      </c>
      <c r="D14" s="27">
        <f>D13/D9</f>
        <v>0.18000000000000002</v>
      </c>
      <c r="E14" s="27">
        <f>E13/E9</f>
        <v>0.18000000000000002</v>
      </c>
      <c r="F14" s="27">
        <f>F13/F9</f>
        <v>0.21799814614157545</v>
      </c>
      <c r="G14" s="27">
        <f>G13/G9</f>
        <v>0.21467490259675459</v>
      </c>
      <c r="H14" s="27">
        <f>H13/H9</f>
        <v>0.21053439544421773</v>
      </c>
      <c r="I14" s="24"/>
      <c r="J14" s="24"/>
    </row>
    <row r="16" spans="1:10" ht="15.95" customHeight="1" x14ac:dyDescent="0.25">
      <c r="A16" s="73" t="s">
        <v>413</v>
      </c>
      <c r="B16" s="74"/>
      <c r="C16" s="74"/>
      <c r="D16" s="74"/>
      <c r="E16" s="74"/>
      <c r="F16" s="74"/>
      <c r="G16" s="74"/>
      <c r="H16" s="74"/>
      <c r="I16" s="74"/>
    </row>
    <row r="17" spans="2:9" ht="27.95" customHeight="1" x14ac:dyDescent="0.25">
      <c r="B17" s="5" t="s">
        <v>414</v>
      </c>
      <c r="C17" s="91" t="s">
        <v>415</v>
      </c>
      <c r="D17" s="84"/>
      <c r="E17" s="84"/>
      <c r="F17" s="84"/>
      <c r="G17" s="84"/>
      <c r="H17" s="84"/>
      <c r="I17" s="85"/>
    </row>
    <row r="18" spans="2:9" ht="42" customHeight="1" x14ac:dyDescent="0.25">
      <c r="B18" s="5" t="s">
        <v>416</v>
      </c>
      <c r="C18" s="90" t="s">
        <v>417</v>
      </c>
      <c r="D18" s="103"/>
      <c r="E18" s="103"/>
      <c r="F18" s="103"/>
      <c r="G18" s="103"/>
      <c r="H18" s="103"/>
      <c r="I18" s="104"/>
    </row>
  </sheetData>
  <mergeCells count="7">
    <mergeCell ref="A2:I2"/>
    <mergeCell ref="C18:I18"/>
    <mergeCell ref="C17:I17"/>
    <mergeCell ref="A5:I5"/>
    <mergeCell ref="A1:I1"/>
    <mergeCell ref="A8:I8"/>
    <mergeCell ref="A16:I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"/>
  <sheetViews>
    <sheetView workbookViewId="0">
      <selection activeCell="F24" sqref="F24"/>
    </sheetView>
  </sheetViews>
  <sheetFormatPr defaultRowHeight="15" x14ac:dyDescent="0.25"/>
  <cols>
    <col min="1" max="1" width="3" customWidth="1"/>
    <col min="2" max="2" width="45.42578125" bestFit="1" customWidth="1"/>
    <col min="3" max="3" width="40.5703125" bestFit="1" customWidth="1"/>
    <col min="4" max="8" width="8.42578125" bestFit="1" customWidth="1"/>
    <col min="9" max="9" width="6" bestFit="1" customWidth="1"/>
    <col min="10" max="10" width="129.42578125" bestFit="1" customWidth="1"/>
  </cols>
  <sheetData>
    <row r="1" spans="1:10" ht="26.1" customHeight="1" x14ac:dyDescent="0.25">
      <c r="A1" s="78" t="s">
        <v>418</v>
      </c>
      <c r="B1" s="74"/>
      <c r="C1" s="74"/>
      <c r="D1" s="74"/>
      <c r="E1" s="74"/>
      <c r="F1" s="74"/>
      <c r="G1" s="74"/>
      <c r="H1" s="74"/>
      <c r="I1" s="74"/>
    </row>
    <row r="2" spans="1:10" ht="18" customHeight="1" x14ac:dyDescent="0.25">
      <c r="A2" s="77" t="s">
        <v>419</v>
      </c>
      <c r="B2" s="74"/>
      <c r="C2" s="74"/>
      <c r="D2" s="74"/>
      <c r="E2" s="74"/>
      <c r="F2" s="74"/>
      <c r="G2" s="74"/>
      <c r="H2" s="74"/>
      <c r="I2" s="74"/>
    </row>
    <row r="4" spans="1:10" x14ac:dyDescent="0.25">
      <c r="B4" s="4" t="s">
        <v>263</v>
      </c>
      <c r="C4" s="4" t="s">
        <v>265</v>
      </c>
      <c r="D4" s="4" t="s">
        <v>341</v>
      </c>
      <c r="E4" s="4" t="s">
        <v>342</v>
      </c>
      <c r="F4" s="4" t="s">
        <v>343</v>
      </c>
      <c r="G4" s="4" t="s">
        <v>344</v>
      </c>
      <c r="H4" s="4" t="s">
        <v>345</v>
      </c>
      <c r="I4" s="4" t="s">
        <v>346</v>
      </c>
    </row>
    <row r="5" spans="1:10" x14ac:dyDescent="0.25">
      <c r="B5" s="5" t="s">
        <v>420</v>
      </c>
      <c r="C5" s="37">
        <f>'EBITDA Build'!C15</f>
        <v>27.5</v>
      </c>
      <c r="D5" s="37">
        <f>'EBITDA Build'!D15</f>
        <v>27.38798056627628</v>
      </c>
      <c r="E5" s="37">
        <f>'EBITDA Build'!E15</f>
        <v>28.513402928692543</v>
      </c>
      <c r="F5" s="37">
        <f>'EBITDA Build'!F15</f>
        <v>30.296535396354134</v>
      </c>
      <c r="G5" s="37">
        <f>'EBITDA Build'!G15</f>
        <v>33.095870610879494</v>
      </c>
      <c r="H5" s="37">
        <f>'EBITDA Build'!H15</f>
        <v>37.465290645426379</v>
      </c>
      <c r="I5" s="24"/>
      <c r="J5" s="24"/>
    </row>
    <row r="6" spans="1:10" x14ac:dyDescent="0.25">
      <c r="B6" s="5" t="s">
        <v>421</v>
      </c>
      <c r="C6" s="30" t="s">
        <v>422</v>
      </c>
      <c r="D6" s="37">
        <f>-CapEx!D13</f>
        <v>-10.3580478</v>
      </c>
      <c r="E6" s="37">
        <f>-CapEx!E13</f>
        <v>-10.817445695220002</v>
      </c>
      <c r="F6" s="37">
        <f>-CapEx!F13</f>
        <v>-13.964036185650478</v>
      </c>
      <c r="G6" s="37">
        <f>-CapEx!G13</f>
        <v>-15.069075146281914</v>
      </c>
      <c r="H6" s="37">
        <f>-CapEx!H13</f>
        <v>-16.782409183354787</v>
      </c>
      <c r="I6" s="24"/>
      <c r="J6" s="24"/>
    </row>
    <row r="7" spans="1:10" ht="27.95" customHeight="1" x14ac:dyDescent="0.25">
      <c r="B7" s="5" t="s">
        <v>423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24"/>
      <c r="J7" s="33" t="s">
        <v>424</v>
      </c>
    </row>
    <row r="8" spans="1:10" x14ac:dyDescent="0.25">
      <c r="B8" s="5" t="s">
        <v>425</v>
      </c>
      <c r="C8" s="30" t="s">
        <v>408</v>
      </c>
      <c r="D8" s="39">
        <f>-MAX(0,(D5+D6))*Assumptions!$F$30</f>
        <v>-4.2574831915690705</v>
      </c>
      <c r="E8" s="39">
        <f>-MAX(0,(E5+E6))*Assumptions!$F$30</f>
        <v>-4.4239893083681352</v>
      </c>
      <c r="F8" s="39">
        <f>-MAX(0,(F5+F6))*Assumptions!$F$30</f>
        <v>-4.0831248026759139</v>
      </c>
      <c r="G8" s="39">
        <f>-MAX(0,(G5+G6))*Assumptions!$F$30</f>
        <v>-4.506698866149395</v>
      </c>
      <c r="H8" s="39">
        <f>-MAX(0,(H5+H6))*Assumptions!$F$30</f>
        <v>-5.1707203655178979</v>
      </c>
      <c r="I8" s="24"/>
      <c r="J8" s="28" t="s">
        <v>426</v>
      </c>
    </row>
    <row r="9" spans="1:10" x14ac:dyDescent="0.25">
      <c r="B9" s="40" t="s">
        <v>427</v>
      </c>
      <c r="C9" s="30" t="s">
        <v>408</v>
      </c>
      <c r="D9" s="41">
        <f>D5+D6+D7+D8</f>
        <v>12.772449574707212</v>
      </c>
      <c r="E9" s="41">
        <f>E5+E6+E7+E8</f>
        <v>13.271967925104406</v>
      </c>
      <c r="F9" s="41">
        <f>F5+F6+F7+F8</f>
        <v>12.249374408027741</v>
      </c>
      <c r="G9" s="41">
        <f>G5+G6+G7+G8</f>
        <v>13.520096598448184</v>
      </c>
      <c r="H9" s="41">
        <f>H5+H6+H7+H8</f>
        <v>15.512161096553694</v>
      </c>
      <c r="I9" s="24"/>
      <c r="J9" s="24"/>
    </row>
    <row r="10" spans="1:10" x14ac:dyDescent="0.25">
      <c r="B10" s="5" t="s">
        <v>428</v>
      </c>
      <c r="C10" s="30" t="s">
        <v>408</v>
      </c>
      <c r="D10" s="42">
        <f>D9*1000/Assumptions!$F$8</f>
        <v>104.95028409784069</v>
      </c>
      <c r="E10" s="42">
        <f>E9*1000/Assumptions!$F$8</f>
        <v>109.05478985295321</v>
      </c>
      <c r="F10" s="42">
        <f>F9*1000/Assumptions!$F$8</f>
        <v>100.65221370606196</v>
      </c>
      <c r="G10" s="42">
        <f>G9*1000/Assumptions!$F$8</f>
        <v>111.09364501600808</v>
      </c>
      <c r="H10" s="42">
        <f>H9*1000/Assumptions!$F$8</f>
        <v>127.46229331597118</v>
      </c>
      <c r="I10" s="24"/>
      <c r="J10" s="24"/>
    </row>
    <row r="12" spans="1:10" ht="15.95" customHeight="1" x14ac:dyDescent="0.25">
      <c r="A12" s="73" t="s">
        <v>429</v>
      </c>
      <c r="B12" s="74"/>
      <c r="C12" s="74"/>
      <c r="D12" s="74"/>
      <c r="E12" s="74"/>
      <c r="F12" s="74"/>
      <c r="G12" s="74"/>
      <c r="H12" s="74"/>
      <c r="I12" s="74"/>
    </row>
    <row r="13" spans="1:10" ht="48" customHeight="1" x14ac:dyDescent="0.25">
      <c r="B13" s="5" t="s">
        <v>430</v>
      </c>
      <c r="C13" s="93" t="s">
        <v>431</v>
      </c>
      <c r="D13" s="84"/>
      <c r="E13" s="85"/>
      <c r="F13" s="92" t="s">
        <v>432</v>
      </c>
      <c r="G13" s="84"/>
      <c r="H13" s="84"/>
      <c r="I13" s="85"/>
    </row>
  </sheetData>
  <mergeCells count="5">
    <mergeCell ref="F13:I13"/>
    <mergeCell ref="A2:I2"/>
    <mergeCell ref="C13:E13"/>
    <mergeCell ref="A1:I1"/>
    <mergeCell ref="A12:I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workbookViewId="0">
      <selection activeCell="C24" sqref="C24"/>
    </sheetView>
  </sheetViews>
  <sheetFormatPr defaultRowHeight="15" x14ac:dyDescent="0.25"/>
  <cols>
    <col min="1" max="1" width="3" customWidth="1"/>
    <col min="2" max="2" width="30.85546875" bestFit="1" customWidth="1"/>
    <col min="3" max="3" width="8" bestFit="1" customWidth="1"/>
    <col min="4" max="4" width="47.85546875" bestFit="1" customWidth="1"/>
  </cols>
  <sheetData>
    <row r="1" spans="1:4" ht="26.1" customHeight="1" x14ac:dyDescent="0.25">
      <c r="A1" s="78" t="s">
        <v>433</v>
      </c>
      <c r="B1" s="74"/>
      <c r="C1" s="74"/>
      <c r="D1" s="74"/>
    </row>
    <row r="2" spans="1:4" ht="18" customHeight="1" x14ac:dyDescent="0.25">
      <c r="A2" s="77" t="s">
        <v>434</v>
      </c>
      <c r="B2" s="74"/>
      <c r="C2" s="74"/>
      <c r="D2" s="74"/>
    </row>
    <row r="4" spans="1:4" x14ac:dyDescent="0.25">
      <c r="B4" s="4" t="s">
        <v>263</v>
      </c>
      <c r="C4" s="4" t="s">
        <v>435</v>
      </c>
      <c r="D4" s="4" t="s">
        <v>346</v>
      </c>
    </row>
    <row r="5" spans="1:4" x14ac:dyDescent="0.25">
      <c r="B5" s="5" t="s">
        <v>436</v>
      </c>
      <c r="C5" s="45">
        <f>Assumptions!F24</f>
        <v>4.4999999999999998E-2</v>
      </c>
      <c r="D5" s="24"/>
    </row>
    <row r="6" spans="1:4" x14ac:dyDescent="0.25">
      <c r="B6" s="5" t="s">
        <v>437</v>
      </c>
      <c r="C6" s="45">
        <f>Assumptions!F25</f>
        <v>0.06</v>
      </c>
      <c r="D6" s="24"/>
    </row>
    <row r="7" spans="1:4" ht="45.75" x14ac:dyDescent="0.25">
      <c r="B7" s="5" t="s">
        <v>438</v>
      </c>
      <c r="C7" s="45">
        <f>Assumptions!F26</f>
        <v>0.03</v>
      </c>
      <c r="D7" s="15" t="s">
        <v>439</v>
      </c>
    </row>
    <row r="8" spans="1:4" x14ac:dyDescent="0.25">
      <c r="B8" s="5" t="s">
        <v>440</v>
      </c>
      <c r="C8" s="46">
        <f>Assumptions!F27</f>
        <v>0.85</v>
      </c>
      <c r="D8" s="24"/>
    </row>
    <row r="9" spans="1:4" x14ac:dyDescent="0.25">
      <c r="B9" s="40" t="s">
        <v>441</v>
      </c>
      <c r="C9" s="47">
        <f>C5+C8*C6+C7</f>
        <v>0.126</v>
      </c>
      <c r="D9" s="28" t="s">
        <v>442</v>
      </c>
    </row>
    <row r="11" spans="1:4" x14ac:dyDescent="0.25">
      <c r="B11" s="5" t="s">
        <v>443</v>
      </c>
      <c r="C11" s="45">
        <f>Assumptions!F28</f>
        <v>0.08</v>
      </c>
      <c r="D11" s="24"/>
    </row>
    <row r="12" spans="1:4" x14ac:dyDescent="0.25">
      <c r="B12" s="5" t="s">
        <v>444</v>
      </c>
      <c r="C12" s="36">
        <f>Assumptions!F30</f>
        <v>0.25</v>
      </c>
      <c r="D12" s="24"/>
    </row>
    <row r="13" spans="1:4" x14ac:dyDescent="0.25">
      <c r="B13" s="5" t="s">
        <v>445</v>
      </c>
      <c r="C13" s="48">
        <f>C11*(1-C12)</f>
        <v>0.06</v>
      </c>
      <c r="D13" s="24"/>
    </row>
    <row r="14" spans="1:4" x14ac:dyDescent="0.25">
      <c r="B14" s="5" t="s">
        <v>446</v>
      </c>
      <c r="C14" s="36">
        <f>Assumptions!F29</f>
        <v>0.2</v>
      </c>
      <c r="D14" s="24"/>
    </row>
    <row r="16" spans="1:4" x14ac:dyDescent="0.25">
      <c r="B16" s="40" t="s">
        <v>433</v>
      </c>
      <c r="C16" s="49">
        <f>C9*(1-C14)+C13*C14</f>
        <v>0.1128</v>
      </c>
      <c r="D16" s="28" t="s">
        <v>447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7"/>
  <sheetViews>
    <sheetView workbookViewId="0">
      <selection activeCell="C15" sqref="C15"/>
    </sheetView>
  </sheetViews>
  <sheetFormatPr defaultRowHeight="15" x14ac:dyDescent="0.25"/>
  <cols>
    <col min="1" max="1" width="3" customWidth="1"/>
    <col min="2" max="2" width="45.140625" bestFit="1" customWidth="1"/>
    <col min="3" max="7" width="8.42578125" bestFit="1" customWidth="1"/>
    <col min="8" max="8" width="12" customWidth="1"/>
    <col min="9" max="9" width="6" bestFit="1" customWidth="1"/>
  </cols>
  <sheetData>
    <row r="1" spans="1:9" ht="26.1" customHeight="1" x14ac:dyDescent="0.25">
      <c r="A1" s="78" t="s">
        <v>448</v>
      </c>
      <c r="B1" s="74"/>
      <c r="C1" s="74"/>
      <c r="D1" s="74"/>
      <c r="E1" s="74"/>
      <c r="F1" s="74"/>
      <c r="G1" s="74"/>
      <c r="H1" s="74"/>
      <c r="I1" s="74"/>
    </row>
    <row r="2" spans="1:9" ht="18" customHeight="1" x14ac:dyDescent="0.25">
      <c r="A2" s="77" t="s">
        <v>449</v>
      </c>
      <c r="B2" s="74"/>
      <c r="C2" s="74"/>
      <c r="D2" s="74"/>
      <c r="E2" s="74"/>
      <c r="F2" s="74"/>
      <c r="G2" s="74"/>
      <c r="H2" s="74"/>
      <c r="I2" s="74"/>
    </row>
    <row r="4" spans="1:9" ht="18" customHeight="1" x14ac:dyDescent="0.25">
      <c r="B4" s="94" t="s">
        <v>450</v>
      </c>
      <c r="C4" s="74"/>
      <c r="D4" s="74"/>
      <c r="E4" s="74"/>
      <c r="F4" s="74"/>
      <c r="G4" s="74"/>
      <c r="H4" s="74"/>
      <c r="I4" s="74"/>
    </row>
    <row r="6" spans="1:9" x14ac:dyDescent="0.25">
      <c r="B6" s="4" t="s">
        <v>263</v>
      </c>
      <c r="C6" s="4" t="s">
        <v>341</v>
      </c>
      <c r="D6" s="4" t="s">
        <v>342</v>
      </c>
      <c r="E6" s="4" t="s">
        <v>343</v>
      </c>
      <c r="F6" s="4" t="s">
        <v>344</v>
      </c>
      <c r="G6" s="4" t="s">
        <v>345</v>
      </c>
      <c r="H6" s="4"/>
      <c r="I6" s="4" t="s">
        <v>346</v>
      </c>
    </row>
    <row r="7" spans="1:9" x14ac:dyDescent="0.25">
      <c r="B7" s="5" t="s">
        <v>451</v>
      </c>
      <c r="C7" s="50">
        <f>'Free Cash Flow'!D10</f>
        <v>104.95028409784069</v>
      </c>
      <c r="D7" s="50">
        <f>'Free Cash Flow'!E10</f>
        <v>109.05478985295321</v>
      </c>
      <c r="E7" s="50">
        <f>'Free Cash Flow'!F10</f>
        <v>100.65221370606196</v>
      </c>
      <c r="F7" s="50">
        <f>'Free Cash Flow'!G10</f>
        <v>111.09364501600808</v>
      </c>
      <c r="G7" s="50">
        <f>'Free Cash Flow'!H10</f>
        <v>127.46229331597118</v>
      </c>
      <c r="H7" s="24"/>
      <c r="I7" s="24"/>
    </row>
    <row r="8" spans="1:9" x14ac:dyDescent="0.25">
      <c r="B8" s="5" t="s">
        <v>452</v>
      </c>
      <c r="C8" s="51">
        <v>0.5</v>
      </c>
      <c r="D8" s="51">
        <v>1.5</v>
      </c>
      <c r="E8" s="51">
        <v>2.5</v>
      </c>
      <c r="F8" s="51">
        <v>3.5</v>
      </c>
      <c r="G8" s="51">
        <v>4.5</v>
      </c>
      <c r="H8" s="24"/>
      <c r="I8" s="24"/>
    </row>
    <row r="9" spans="1:9" x14ac:dyDescent="0.25">
      <c r="B9" s="5" t="s">
        <v>453</v>
      </c>
      <c r="C9" s="95">
        <f>WACC!C16</f>
        <v>0.1128</v>
      </c>
      <c r="D9" s="84"/>
      <c r="E9" s="84"/>
      <c r="F9" s="84"/>
      <c r="G9" s="85"/>
      <c r="H9" s="24"/>
      <c r="I9" s="24"/>
    </row>
    <row r="10" spans="1:9" x14ac:dyDescent="0.25">
      <c r="B10" s="5" t="s">
        <v>454</v>
      </c>
      <c r="C10" s="52">
        <f>1/(1+$C$9)^C8</f>
        <v>0.94796311964346458</v>
      </c>
      <c r="D10" s="52">
        <f>1/(1+$C$9)^D8</f>
        <v>0.85187196229642759</v>
      </c>
      <c r="E10" s="52">
        <f>1/(1+$C$9)^E8</f>
        <v>0.76552117388248342</v>
      </c>
      <c r="F10" s="52">
        <f>1/(1+$C$9)^F8</f>
        <v>0.68792341290661696</v>
      </c>
      <c r="G10" s="52">
        <f>1/(1+$C$9)^G8</f>
        <v>0.6181914206565573</v>
      </c>
      <c r="H10" s="24"/>
      <c r="I10" s="24"/>
    </row>
    <row r="11" spans="1:9" x14ac:dyDescent="0.25">
      <c r="B11" s="5" t="s">
        <v>455</v>
      </c>
      <c r="C11" s="42">
        <f>C7*C10</f>
        <v>99.488998720856955</v>
      </c>
      <c r="D11" s="42">
        <f>D7*D10</f>
        <v>92.900717829859786</v>
      </c>
      <c r="E11" s="42">
        <f>E7*E10</f>
        <v>77.051400790135133</v>
      </c>
      <c r="F11" s="42">
        <f>F7*F10</f>
        <v>76.423919431648457</v>
      </c>
      <c r="G11" s="42">
        <f>G7*G10</f>
        <v>78.796096185143028</v>
      </c>
      <c r="H11" s="24"/>
      <c r="I11" s="24"/>
    </row>
    <row r="13" spans="1:9" x14ac:dyDescent="0.25">
      <c r="B13" s="5" t="s">
        <v>456</v>
      </c>
      <c r="C13" s="36">
        <f>Assumptions!F33</f>
        <v>0.04</v>
      </c>
      <c r="D13" s="24"/>
      <c r="E13" s="24"/>
      <c r="F13" s="24"/>
      <c r="G13" s="24"/>
      <c r="H13" s="24"/>
      <c r="I13" s="24"/>
    </row>
    <row r="14" spans="1:9" x14ac:dyDescent="0.25">
      <c r="B14" s="5" t="s">
        <v>457</v>
      </c>
      <c r="C14" s="42">
        <f>G7*(1+C13)/(C9-C13)</f>
        <v>1820.8899045138739</v>
      </c>
      <c r="D14" s="24"/>
      <c r="E14" s="24"/>
      <c r="F14" s="24"/>
      <c r="G14" s="24"/>
      <c r="H14" s="24"/>
      <c r="I14" s="24"/>
    </row>
    <row r="15" spans="1:9" x14ac:dyDescent="0.25">
      <c r="B15" s="5" t="s">
        <v>458</v>
      </c>
      <c r="C15" s="42">
        <f>C14*G10</f>
        <v>1125.6585169306147</v>
      </c>
      <c r="D15" s="24"/>
      <c r="E15" s="24"/>
      <c r="F15" s="24"/>
      <c r="G15" s="24"/>
      <c r="H15" s="24"/>
      <c r="I15" s="24"/>
    </row>
    <row r="17" spans="2:9" x14ac:dyDescent="0.25">
      <c r="B17" s="40" t="s">
        <v>459</v>
      </c>
      <c r="C17" s="53">
        <f>SUM(C11:G11)+C15</f>
        <v>1550.319649888258</v>
      </c>
      <c r="D17" s="24"/>
      <c r="E17" s="24"/>
      <c r="F17" s="24"/>
      <c r="G17" s="24"/>
      <c r="H17" s="24"/>
      <c r="I17" s="24"/>
    </row>
  </sheetData>
  <mergeCells count="4">
    <mergeCell ref="A1:I1"/>
    <mergeCell ref="B4:I4"/>
    <mergeCell ref="C9:G9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workbookViewId="0">
      <selection activeCell="D29" sqref="D29"/>
    </sheetView>
  </sheetViews>
  <sheetFormatPr defaultRowHeight="15" x14ac:dyDescent="0.25"/>
  <cols>
    <col min="1" max="1" width="3" customWidth="1"/>
    <col min="2" max="2" width="51.42578125" bestFit="1" customWidth="1"/>
    <col min="3" max="3" width="26" bestFit="1" customWidth="1"/>
    <col min="4" max="4" width="11.140625" bestFit="1" customWidth="1"/>
    <col min="5" max="5" width="15.5703125" bestFit="1" customWidth="1"/>
    <col min="6" max="6" width="6" bestFit="1" customWidth="1"/>
  </cols>
  <sheetData>
    <row r="1" spans="1:6" ht="26.1" customHeight="1" x14ac:dyDescent="0.25">
      <c r="A1" s="78" t="s">
        <v>460</v>
      </c>
      <c r="B1" s="74"/>
      <c r="C1" s="74"/>
      <c r="D1" s="74"/>
      <c r="E1" s="74"/>
      <c r="F1" s="74"/>
    </row>
    <row r="2" spans="1:6" ht="18" customHeight="1" x14ac:dyDescent="0.25">
      <c r="A2" s="77" t="s">
        <v>461</v>
      </c>
      <c r="B2" s="74"/>
      <c r="C2" s="74"/>
      <c r="D2" s="74"/>
      <c r="E2" s="74"/>
      <c r="F2" s="74"/>
    </row>
    <row r="4" spans="1:6" x14ac:dyDescent="0.25">
      <c r="B4" s="4" t="s">
        <v>263</v>
      </c>
      <c r="C4" s="4" t="s">
        <v>462</v>
      </c>
      <c r="D4" s="4" t="s">
        <v>463</v>
      </c>
      <c r="E4" s="4" t="s">
        <v>266</v>
      </c>
      <c r="F4" s="4" t="s">
        <v>346</v>
      </c>
    </row>
    <row r="5" spans="1:6" x14ac:dyDescent="0.25">
      <c r="B5" s="5" t="s">
        <v>464</v>
      </c>
      <c r="C5" s="96">
        <f>'EBITDA Build'!C16</f>
        <v>225.96548890714871</v>
      </c>
      <c r="D5" s="85"/>
      <c r="E5" s="24"/>
      <c r="F5" s="24"/>
    </row>
    <row r="6" spans="1:6" x14ac:dyDescent="0.25">
      <c r="B6" s="5" t="s">
        <v>465</v>
      </c>
      <c r="C6" s="96">
        <f>'Revenue Build'!C9</f>
        <v>459.3262119967132</v>
      </c>
      <c r="D6" s="85"/>
      <c r="E6" s="24"/>
      <c r="F6" s="24"/>
    </row>
    <row r="8" spans="1:6" x14ac:dyDescent="0.25">
      <c r="B8" s="5" t="s">
        <v>466</v>
      </c>
      <c r="C8" s="46">
        <f>'Comparable Companies'!C10</f>
        <v>5.46</v>
      </c>
      <c r="D8" s="46">
        <f>'Comparable Companies'!D10</f>
        <v>4.1900000000000004</v>
      </c>
      <c r="E8" s="24"/>
      <c r="F8" s="24"/>
    </row>
    <row r="9" spans="1:6" x14ac:dyDescent="0.25">
      <c r="B9" s="5" t="s">
        <v>467</v>
      </c>
      <c r="C9" s="36">
        <f>Assumptions!F32</f>
        <v>0.25</v>
      </c>
      <c r="D9" s="36">
        <f>Assumptions!F32</f>
        <v>0.25</v>
      </c>
      <c r="E9" s="24"/>
      <c r="F9" s="24"/>
    </row>
    <row r="10" spans="1:6" x14ac:dyDescent="0.25">
      <c r="B10" s="40" t="s">
        <v>468</v>
      </c>
      <c r="C10" s="54">
        <f>$C$5*C8*(1-C9)</f>
        <v>925.32867707477408</v>
      </c>
      <c r="D10" s="54">
        <f>$C$5*D8*(1-D9)</f>
        <v>710.09654889071487</v>
      </c>
      <c r="E10" s="24"/>
      <c r="F10" s="24"/>
    </row>
    <row r="12" spans="1:6" x14ac:dyDescent="0.25">
      <c r="B12" s="5" t="s">
        <v>469</v>
      </c>
      <c r="C12" s="30" t="s">
        <v>334</v>
      </c>
      <c r="D12" s="46">
        <f>'Comparable Companies'!D16</f>
        <v>2.0172864321608039</v>
      </c>
      <c r="E12" s="24"/>
      <c r="F12" s="24"/>
    </row>
    <row r="13" spans="1:6" x14ac:dyDescent="0.25">
      <c r="B13" s="40" t="s">
        <v>470</v>
      </c>
      <c r="C13" s="30" t="s">
        <v>471</v>
      </c>
      <c r="D13" s="54">
        <f>$C$6*D12*(1-D9)</f>
        <v>694.94440154758991</v>
      </c>
      <c r="E13" s="5" t="s">
        <v>472</v>
      </c>
      <c r="F13" s="24"/>
    </row>
  </sheetData>
  <mergeCells count="4">
    <mergeCell ref="A2:F2"/>
    <mergeCell ref="A1:F1"/>
    <mergeCell ref="C6:D6"/>
    <mergeCell ref="C5:D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4"/>
  <sheetViews>
    <sheetView workbookViewId="0">
      <selection activeCell="H24" sqref="H24"/>
    </sheetView>
  </sheetViews>
  <sheetFormatPr defaultRowHeight="15" x14ac:dyDescent="0.25"/>
  <cols>
    <col min="1" max="1" width="3" customWidth="1"/>
    <col min="2" max="2" width="53.7109375" bestFit="1" customWidth="1"/>
    <col min="3" max="3" width="45" bestFit="1" customWidth="1"/>
    <col min="4" max="5" width="11.5703125" bestFit="1" customWidth="1"/>
    <col min="6" max="6" width="41.85546875" bestFit="1" customWidth="1"/>
  </cols>
  <sheetData>
    <row r="1" spans="1:6" ht="26.1" customHeight="1" x14ac:dyDescent="0.25">
      <c r="A1" s="78" t="s">
        <v>473</v>
      </c>
      <c r="B1" s="74"/>
      <c r="C1" s="74"/>
      <c r="D1" s="74"/>
      <c r="E1" s="74"/>
      <c r="F1" s="74"/>
    </row>
    <row r="2" spans="1:6" ht="18" customHeight="1" x14ac:dyDescent="0.25">
      <c r="A2" s="77" t="s">
        <v>474</v>
      </c>
      <c r="B2" s="74"/>
      <c r="C2" s="74"/>
      <c r="D2" s="74"/>
      <c r="E2" s="74"/>
      <c r="F2" s="74"/>
    </row>
    <row r="4" spans="1:6" x14ac:dyDescent="0.25">
      <c r="B4" s="4" t="s">
        <v>263</v>
      </c>
      <c r="C4" s="4" t="s">
        <v>178</v>
      </c>
      <c r="D4" s="4" t="s">
        <v>175</v>
      </c>
      <c r="E4" s="4" t="s">
        <v>179</v>
      </c>
      <c r="F4" s="4" t="s">
        <v>346</v>
      </c>
    </row>
    <row r="5" spans="1:6" x14ac:dyDescent="0.25">
      <c r="B5" s="5" t="s">
        <v>475</v>
      </c>
      <c r="C5" s="37">
        <f>'Source Data'!D6</f>
        <v>55.9</v>
      </c>
      <c r="D5" s="37">
        <f>'Source Data'!D6</f>
        <v>55.9</v>
      </c>
      <c r="E5" s="37">
        <f>'Source Data'!D6</f>
        <v>55.9</v>
      </c>
      <c r="F5" s="24"/>
    </row>
    <row r="6" spans="1:6" ht="45.75" x14ac:dyDescent="0.25">
      <c r="B6" s="5" t="s">
        <v>476</v>
      </c>
      <c r="C6" s="36">
        <f>Assumptions!C12+(Assumptions!C14-Assumptions!C12)*0.1</f>
        <v>1.2E-2</v>
      </c>
      <c r="D6" s="36">
        <f>Assumptions!D12+(Assumptions!D14-Assumptions!D12)*0.1</f>
        <v>6.4000000000000001E-2</v>
      </c>
      <c r="E6" s="36">
        <f>Assumptions!E12+(Assumptions!E14-Assumptions!E12)*0.1</f>
        <v>0.10700000000000001</v>
      </c>
      <c r="F6" s="15" t="s">
        <v>477</v>
      </c>
    </row>
    <row r="7" spans="1:6" x14ac:dyDescent="0.25">
      <c r="B7" s="5" t="s">
        <v>478</v>
      </c>
      <c r="C7" s="39">
        <f>C5*(1+C6)^5</f>
        <v>59.3354677616217</v>
      </c>
      <c r="D7" s="39">
        <f>D5*(1+D6)^5</f>
        <v>76.228951750039997</v>
      </c>
      <c r="E7" s="39">
        <f>E5*(1+E6)^5</f>
        <v>92.928710811896963</v>
      </c>
      <c r="F7" s="24"/>
    </row>
    <row r="9" spans="1:6" x14ac:dyDescent="0.25">
      <c r="B9" s="5" t="s">
        <v>479</v>
      </c>
      <c r="C9" s="36">
        <f>Assumptions!C17</f>
        <v>0.7</v>
      </c>
      <c r="D9" s="36">
        <f>Assumptions!D17</f>
        <v>0.9</v>
      </c>
      <c r="E9" s="36">
        <f>Assumptions!E17</f>
        <v>1</v>
      </c>
      <c r="F9" s="24"/>
    </row>
    <row r="10" spans="1:6" x14ac:dyDescent="0.25">
      <c r="B10" s="5" t="s">
        <v>480</v>
      </c>
      <c r="C10" s="36">
        <f>Assumptions!C18</f>
        <v>0.4</v>
      </c>
      <c r="D10" s="36">
        <f>Assumptions!D18</f>
        <v>0.47</v>
      </c>
      <c r="E10" s="36">
        <f>Assumptions!E18</f>
        <v>0.5</v>
      </c>
      <c r="F10" s="24"/>
    </row>
    <row r="11" spans="1:6" x14ac:dyDescent="0.25">
      <c r="B11" s="40" t="s">
        <v>481</v>
      </c>
      <c r="C11" s="41">
        <f>C7*C10</f>
        <v>23.734187104648683</v>
      </c>
      <c r="D11" s="41">
        <f>D7*D10</f>
        <v>35.827607322518794</v>
      </c>
      <c r="E11" s="41">
        <f>E7*E10</f>
        <v>46.464355405948481</v>
      </c>
      <c r="F11" s="24"/>
    </row>
    <row r="12" spans="1:6" x14ac:dyDescent="0.25">
      <c r="B12" s="5" t="s">
        <v>482</v>
      </c>
      <c r="C12" s="42">
        <f>C11*1000/Assumptions!$F$8</f>
        <v>195.02207974238851</v>
      </c>
      <c r="D12" s="42">
        <f>D11*1000/Assumptions!$F$8</f>
        <v>294.39282927295642</v>
      </c>
      <c r="E12" s="42">
        <f>E11*1000/Assumptions!$F$8</f>
        <v>381.79421040220609</v>
      </c>
      <c r="F12" s="24"/>
    </row>
    <row r="14" spans="1:6" x14ac:dyDescent="0.25">
      <c r="B14" s="5" t="s">
        <v>483</v>
      </c>
      <c r="C14" s="36">
        <f>Assumptions!C32</f>
        <v>0.35</v>
      </c>
      <c r="D14" s="36">
        <f>Assumptions!D32</f>
        <v>0.25</v>
      </c>
      <c r="E14" s="36">
        <f>Assumptions!E32</f>
        <v>0.15</v>
      </c>
      <c r="F14" s="24"/>
    </row>
    <row r="15" spans="1:6" x14ac:dyDescent="0.25">
      <c r="B15" s="40" t="s">
        <v>484</v>
      </c>
      <c r="C15" s="55">
        <f>C12*'Comparable Companies'!$C$10*(1-C14)</f>
        <v>692.1333610057369</v>
      </c>
      <c r="D15" s="56">
        <f>D12*'Comparable Companies'!$C$10*(1-D14)</f>
        <v>1205.5386358727565</v>
      </c>
      <c r="E15" s="55">
        <f>E12*'Comparable Companies'!$C$10*(1-E14)</f>
        <v>1771.9069304766383</v>
      </c>
      <c r="F15" s="24"/>
    </row>
    <row r="17" spans="1:6" ht="15.95" customHeight="1" x14ac:dyDescent="0.25">
      <c r="A17" s="73" t="s">
        <v>485</v>
      </c>
      <c r="B17" s="74"/>
      <c r="C17" s="74"/>
      <c r="D17" s="74"/>
      <c r="E17" s="74"/>
      <c r="F17" s="74"/>
    </row>
    <row r="18" spans="1:6" ht="27.95" customHeight="1" x14ac:dyDescent="0.25">
      <c r="B18" s="72" t="s">
        <v>486</v>
      </c>
      <c r="C18" s="91" t="s">
        <v>487</v>
      </c>
      <c r="D18" s="84"/>
      <c r="E18" s="84"/>
      <c r="F18" s="85"/>
    </row>
    <row r="19" spans="1:6" ht="25.5" x14ac:dyDescent="0.25">
      <c r="B19" s="4" t="s">
        <v>263</v>
      </c>
      <c r="C19" s="4" t="s">
        <v>488</v>
      </c>
      <c r="D19" s="4" t="s">
        <v>489</v>
      </c>
      <c r="E19" s="4" t="s">
        <v>490</v>
      </c>
    </row>
    <row r="20" spans="1:6" x14ac:dyDescent="0.25">
      <c r="B20" s="5" t="s">
        <v>491</v>
      </c>
      <c r="C20" s="31" t="s">
        <v>492</v>
      </c>
      <c r="D20" s="36">
        <f>Assumptions!C12</f>
        <v>-0.02</v>
      </c>
      <c r="E20" s="36">
        <f>Assumptions!D12</f>
        <v>0.01</v>
      </c>
      <c r="F20" s="24"/>
    </row>
    <row r="21" spans="1:6" x14ac:dyDescent="0.25">
      <c r="B21" s="5" t="s">
        <v>493</v>
      </c>
      <c r="C21" s="31" t="s">
        <v>494</v>
      </c>
      <c r="D21" s="36">
        <f>Assumptions!C18</f>
        <v>0.4</v>
      </c>
      <c r="E21" s="36">
        <f>Assumptions!D18</f>
        <v>0.47</v>
      </c>
      <c r="F21" s="24"/>
    </row>
    <row r="22" spans="1:6" x14ac:dyDescent="0.25">
      <c r="B22" s="5" t="s">
        <v>252</v>
      </c>
      <c r="C22" s="31" t="s">
        <v>253</v>
      </c>
      <c r="D22" s="98" t="s">
        <v>495</v>
      </c>
      <c r="E22" s="85"/>
      <c r="F22" s="24"/>
    </row>
    <row r="24" spans="1:6" ht="45.95" customHeight="1" x14ac:dyDescent="0.25">
      <c r="B24" s="97" t="s">
        <v>496</v>
      </c>
      <c r="C24" s="74"/>
      <c r="D24" s="74"/>
      <c r="E24" s="74"/>
      <c r="F24" s="74"/>
    </row>
  </sheetData>
  <mergeCells count="6">
    <mergeCell ref="A2:F2"/>
    <mergeCell ref="C18:F18"/>
    <mergeCell ref="B24:F24"/>
    <mergeCell ref="A1:F1"/>
    <mergeCell ref="A17:F17"/>
    <mergeCell ref="D22:E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9"/>
  <sheetViews>
    <sheetView workbookViewId="0">
      <selection activeCell="I29" sqref="I29"/>
    </sheetView>
  </sheetViews>
  <sheetFormatPr defaultRowHeight="15" x14ac:dyDescent="0.25"/>
  <cols>
    <col min="1" max="1" width="3" customWidth="1"/>
    <col min="2" max="2" width="40.7109375" bestFit="1" customWidth="1"/>
    <col min="3" max="7" width="5.7109375" bestFit="1" customWidth="1"/>
    <col min="8" max="8" width="40" customWidth="1"/>
  </cols>
  <sheetData>
    <row r="1" spans="1:8" ht="26.1" customHeight="1" x14ac:dyDescent="0.25">
      <c r="A1" s="78" t="s">
        <v>497</v>
      </c>
      <c r="B1" s="74"/>
      <c r="C1" s="74"/>
      <c r="D1" s="74"/>
      <c r="E1" s="74"/>
      <c r="F1" s="74"/>
      <c r="G1" s="74"/>
      <c r="H1" s="74"/>
    </row>
    <row r="2" spans="1:8" ht="18" customHeight="1" x14ac:dyDescent="0.25">
      <c r="A2" s="77" t="s">
        <v>498</v>
      </c>
      <c r="B2" s="74"/>
      <c r="C2" s="74"/>
      <c r="D2" s="74"/>
      <c r="E2" s="74"/>
      <c r="F2" s="74"/>
      <c r="G2" s="74"/>
      <c r="H2" s="74"/>
    </row>
    <row r="4" spans="1:8" ht="15.95" customHeight="1" x14ac:dyDescent="0.25">
      <c r="A4" s="73" t="s">
        <v>499</v>
      </c>
      <c r="B4" s="74"/>
      <c r="C4" s="74"/>
      <c r="D4" s="74"/>
      <c r="E4" s="74"/>
      <c r="F4" s="74"/>
      <c r="G4" s="74"/>
      <c r="H4" s="74"/>
    </row>
    <row r="5" spans="1:8" x14ac:dyDescent="0.25">
      <c r="B5" s="5" t="s">
        <v>464</v>
      </c>
      <c r="C5" s="50">
        <f>'EBITDA Build'!C16</f>
        <v>225.96548890714871</v>
      </c>
      <c r="D5" s="24"/>
      <c r="E5" s="24"/>
      <c r="F5" s="24"/>
      <c r="G5" s="24"/>
      <c r="H5" s="24"/>
    </row>
    <row r="7" spans="1:8" x14ac:dyDescent="0.25">
      <c r="B7" s="1" t="s">
        <v>500</v>
      </c>
      <c r="C7" s="57">
        <v>3</v>
      </c>
      <c r="D7" s="57">
        <v>3.5</v>
      </c>
      <c r="E7" s="57">
        <v>4</v>
      </c>
      <c r="F7" s="57">
        <v>4.5</v>
      </c>
      <c r="G7" s="57">
        <v>5</v>
      </c>
    </row>
    <row r="8" spans="1:8" x14ac:dyDescent="0.25">
      <c r="B8" s="40" t="s">
        <v>501</v>
      </c>
      <c r="C8" s="42">
        <f>$C$5*C$7</f>
        <v>677.89646672144613</v>
      </c>
      <c r="D8" s="42">
        <f>$C$5*D$7</f>
        <v>790.87921117502049</v>
      </c>
      <c r="E8" s="42">
        <f>$C$5*E$7</f>
        <v>903.86195562859484</v>
      </c>
      <c r="F8" s="42">
        <f>$C$5*F$7</f>
        <v>1016.8447000821692</v>
      </c>
      <c r="G8" s="42">
        <f>$C$5*G$7</f>
        <v>1129.8274445357436</v>
      </c>
      <c r="H8" s="24"/>
    </row>
    <row r="11" spans="1:8" ht="15.95" customHeight="1" x14ac:dyDescent="0.25">
      <c r="A11" s="73" t="s">
        <v>502</v>
      </c>
      <c r="B11" s="74"/>
      <c r="C11" s="74"/>
      <c r="D11" s="74"/>
      <c r="E11" s="74"/>
      <c r="F11" s="74"/>
      <c r="G11" s="74"/>
      <c r="H11" s="74"/>
    </row>
    <row r="12" spans="1:8" x14ac:dyDescent="0.25">
      <c r="B12" s="1" t="s">
        <v>503</v>
      </c>
      <c r="C12" s="58">
        <v>0.02</v>
      </c>
      <c r="D12" s="58">
        <v>0.03</v>
      </c>
      <c r="E12" s="58">
        <v>0.04</v>
      </c>
      <c r="F12" s="58">
        <v>0.05</v>
      </c>
      <c r="G12" s="58">
        <v>0.06</v>
      </c>
    </row>
    <row r="13" spans="1:8" x14ac:dyDescent="0.25">
      <c r="B13" s="59">
        <v>0.09</v>
      </c>
      <c r="C13" s="42">
        <f>IFERROR('Free Cash Flow'!$H$9*1000/Assumptions!$F$8*(1+C$12)/(0.09-C$12),"n.m.")</f>
        <v>1857.3077026041519</v>
      </c>
      <c r="D13" s="42">
        <f>IFERROR('Free Cash Flow'!$H$9*1000/Assumptions!$F$8*(1+D$12)/(0.09-D$12),"n.m.")</f>
        <v>2188.1027019241719</v>
      </c>
      <c r="E13" s="42">
        <f>IFERROR('Free Cash Flow'!$H$9*1000/Assumptions!$F$8*(1+E$12)/(0.09-E$12),"n.m.")</f>
        <v>2651.2157009722009</v>
      </c>
      <c r="F13" s="42">
        <f>IFERROR('Free Cash Flow'!$H$9*1000/Assumptions!$F$8*(1+F$12)/(0.09-F$12),"n.m.")</f>
        <v>3345.8851995442442</v>
      </c>
      <c r="G13" s="42">
        <f>IFERROR('Free Cash Flow'!$H$9*1000/Assumptions!$F$8*(1+G$12)/(0.09-G$12),"n.m.")</f>
        <v>4503.6676971643155</v>
      </c>
      <c r="H13" s="24"/>
    </row>
    <row r="14" spans="1:8" x14ac:dyDescent="0.25">
      <c r="B14" s="59">
        <v>0.1</v>
      </c>
      <c r="C14" s="42">
        <f>IFERROR('Free Cash Flow'!$H$9*1000/Assumptions!$F$8*(1+C$12)/(0.1-C$12),"n.m.")</f>
        <v>1625.1442397786327</v>
      </c>
      <c r="D14" s="42">
        <f>IFERROR('Free Cash Flow'!$H$9*1000/Assumptions!$F$8*(1+D$12)/(0.1-D$12),"n.m.")</f>
        <v>1875.5166016492899</v>
      </c>
      <c r="E14" s="42">
        <f>IFERROR('Free Cash Flow'!$H$9*1000/Assumptions!$F$8*(1+E$12)/(0.1-E$12),"n.m.")</f>
        <v>2209.3464174768337</v>
      </c>
      <c r="F14" s="42">
        <f>IFERROR('Free Cash Flow'!$H$9*1000/Assumptions!$F$8*(1+F$12)/(0.1-F$12),"n.m.")</f>
        <v>2676.7081596353946</v>
      </c>
      <c r="G14" s="42">
        <f>IFERROR('Free Cash Flow'!$H$9*1000/Assumptions!$F$8*(1+G$12)/(0.1-G$12),"n.m.")</f>
        <v>3377.7507728732362</v>
      </c>
      <c r="H14" s="24"/>
    </row>
    <row r="15" spans="1:8" x14ac:dyDescent="0.25">
      <c r="B15" s="59">
        <v>0.11</v>
      </c>
      <c r="C15" s="42">
        <f>IFERROR('Free Cash Flow'!$H$9*1000/Assumptions!$F$8*(1+C$12)/(0.11-C$12),"n.m.")</f>
        <v>1444.572657581007</v>
      </c>
      <c r="D15" s="42">
        <f>IFERROR('Free Cash Flow'!$H$9*1000/Assumptions!$F$8*(1+D$12)/(0.11-D$12),"n.m.")</f>
        <v>1641.0770264431289</v>
      </c>
      <c r="E15" s="42">
        <f>IFERROR('Free Cash Flow'!$H$9*1000/Assumptions!$F$8*(1+E$12)/(0.11-E$12),"n.m.")</f>
        <v>1893.7255006944288</v>
      </c>
      <c r="F15" s="42">
        <f>IFERROR('Free Cash Flow'!$H$9*1000/Assumptions!$F$8*(1+F$12)/(0.11-F$12),"n.m.")</f>
        <v>2230.590133029496</v>
      </c>
      <c r="G15" s="42">
        <f>IFERROR('Free Cash Flow'!$H$9*1000/Assumptions!$F$8*(1+G$12)/(0.11-G$12),"n.m.")</f>
        <v>2702.2006182985892</v>
      </c>
      <c r="H15" s="24"/>
    </row>
    <row r="16" spans="1:8" x14ac:dyDescent="0.25">
      <c r="B16" s="59">
        <v>0.12</v>
      </c>
      <c r="C16" s="42">
        <f>IFERROR('Free Cash Flow'!$H$9*1000/Assumptions!$F$8*(1+C$12)/(0.12-C$12),"n.m.")</f>
        <v>1300.1153918229063</v>
      </c>
      <c r="D16" s="42">
        <f>IFERROR('Free Cash Flow'!$H$9*1000/Assumptions!$F$8*(1+D$12)/(0.12-D$12),"n.m.")</f>
        <v>1458.7351346161147</v>
      </c>
      <c r="E16" s="42">
        <f>IFERROR('Free Cash Flow'!$H$9*1000/Assumptions!$F$8*(1+E$12)/(0.12-E$12),"n.m.")</f>
        <v>1657.0098131076256</v>
      </c>
      <c r="F16" s="42">
        <f>IFERROR('Free Cash Flow'!$H$9*1000/Assumptions!$F$8*(1+F$12)/(0.12-F$12),"n.m.")</f>
        <v>1911.9343997395681</v>
      </c>
      <c r="G16" s="42">
        <f>IFERROR('Free Cash Flow'!$H$9*1000/Assumptions!$F$8*(1+G$12)/(0.12-G$12),"n.m.")</f>
        <v>2251.8338485821578</v>
      </c>
      <c r="H16" s="24"/>
    </row>
    <row r="17" spans="2:8" x14ac:dyDescent="0.25">
      <c r="B17" s="59">
        <v>0.13</v>
      </c>
      <c r="C17" s="42">
        <f>IFERROR('Free Cash Flow'!$H$9*1000/Assumptions!$F$8*(1+C$12)/(0.13-C$12),"n.m.")</f>
        <v>1181.9230834753694</v>
      </c>
      <c r="D17" s="42">
        <f>IFERROR('Free Cash Flow'!$H$9*1000/Assumptions!$F$8*(1+D$12)/(0.13-D$12),"n.m.")</f>
        <v>1312.8616211545029</v>
      </c>
      <c r="E17" s="42">
        <f>IFERROR('Free Cash Flow'!$H$9*1000/Assumptions!$F$8*(1+E$12)/(0.13-E$12),"n.m.")</f>
        <v>1472.8976116512226</v>
      </c>
      <c r="F17" s="42">
        <f>IFERROR('Free Cash Flow'!$H$9*1000/Assumptions!$F$8*(1+F$12)/(0.13-F$12),"n.m.")</f>
        <v>1672.9425997721219</v>
      </c>
      <c r="G17" s="42">
        <f>IFERROR('Free Cash Flow'!$H$9*1000/Assumptions!$F$8*(1+G$12)/(0.13-G$12),"n.m.")</f>
        <v>1930.1432987847065</v>
      </c>
      <c r="H17" s="24"/>
    </row>
    <row r="19" spans="2:8" ht="27.95" customHeight="1" x14ac:dyDescent="0.25">
      <c r="B19" s="89" t="s">
        <v>504</v>
      </c>
      <c r="C19" s="74"/>
      <c r="D19" s="74"/>
      <c r="E19" s="74"/>
      <c r="F19" s="74"/>
      <c r="G19" s="74"/>
      <c r="H19" s="74"/>
    </row>
  </sheetData>
  <mergeCells count="5">
    <mergeCell ref="A4:H4"/>
    <mergeCell ref="A2:H2"/>
    <mergeCell ref="A11:H11"/>
    <mergeCell ref="A1:H1"/>
    <mergeCell ref="B19:H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>
      <selection activeCell="J19" sqref="J19"/>
    </sheetView>
  </sheetViews>
  <sheetFormatPr defaultRowHeight="15" x14ac:dyDescent="0.25"/>
  <cols>
    <col min="1" max="1" width="3" customWidth="1"/>
    <col min="2" max="2" width="63" bestFit="1" customWidth="1"/>
    <col min="3" max="3" width="14" customWidth="1"/>
    <col min="4" max="4" width="10.140625" bestFit="1" customWidth="1"/>
    <col min="5" max="5" width="72.28515625" bestFit="1" customWidth="1"/>
  </cols>
  <sheetData>
    <row r="1" spans="1:5" ht="26.1" customHeight="1" x14ac:dyDescent="0.25">
      <c r="A1" s="78" t="s">
        <v>505</v>
      </c>
      <c r="B1" s="74"/>
      <c r="C1" s="74"/>
      <c r="D1" s="74"/>
      <c r="E1" s="74"/>
    </row>
    <row r="2" spans="1:5" ht="18" customHeight="1" x14ac:dyDescent="0.25">
      <c r="A2" s="77" t="s">
        <v>506</v>
      </c>
      <c r="B2" s="74"/>
      <c r="C2" s="74"/>
      <c r="D2" s="74"/>
      <c r="E2" s="74"/>
    </row>
    <row r="4" spans="1:5" ht="25.5" x14ac:dyDescent="0.25">
      <c r="B4" s="4" t="s">
        <v>507</v>
      </c>
      <c r="C4" s="4" t="s">
        <v>508</v>
      </c>
      <c r="D4" s="4" t="s">
        <v>509</v>
      </c>
      <c r="E4" s="4" t="s">
        <v>346</v>
      </c>
    </row>
    <row r="5" spans="1:5" x14ac:dyDescent="0.25">
      <c r="B5" s="5" t="s">
        <v>510</v>
      </c>
      <c r="C5" s="50">
        <f>'Trading Multiples'!C10</f>
        <v>925.32867707477408</v>
      </c>
      <c r="D5" s="50">
        <f>'Trading Multiples'!C10*1.15</f>
        <v>1064.1279786359901</v>
      </c>
      <c r="E5" s="28" t="s">
        <v>511</v>
      </c>
    </row>
    <row r="6" spans="1:5" x14ac:dyDescent="0.25">
      <c r="B6" s="5" t="s">
        <v>512</v>
      </c>
      <c r="C6" s="50">
        <f>'Trading Multiples'!D10</f>
        <v>710.09654889071487</v>
      </c>
      <c r="D6" s="50">
        <f>'Trading Multiples'!D10*1.15</f>
        <v>816.61103122432201</v>
      </c>
      <c r="E6" s="24"/>
    </row>
    <row r="7" spans="1:5" x14ac:dyDescent="0.25">
      <c r="B7" s="5" t="s">
        <v>513</v>
      </c>
      <c r="C7" s="50">
        <f>'Trading Multiples'!D13*0.9</f>
        <v>625.44996139283091</v>
      </c>
      <c r="D7" s="50">
        <f>'Trading Multiples'!D13*1.1</f>
        <v>764.43884170234901</v>
      </c>
      <c r="E7" s="24"/>
    </row>
    <row r="8" spans="1:5" x14ac:dyDescent="0.25">
      <c r="B8" s="5" t="s">
        <v>514</v>
      </c>
      <c r="C8" s="50">
        <f>'Scenario Analysis'!C15</f>
        <v>692.1333610057369</v>
      </c>
      <c r="D8" s="50">
        <f>'Scenario Analysis'!E15</f>
        <v>1771.9069304766383</v>
      </c>
      <c r="E8" s="24"/>
    </row>
    <row r="9" spans="1:5" x14ac:dyDescent="0.25">
      <c r="B9" s="30" t="s">
        <v>515</v>
      </c>
      <c r="C9" s="60">
        <f>'DCF Valuation'!C17*0.85</f>
        <v>1317.7717024050194</v>
      </c>
      <c r="D9" s="60">
        <f>'DCF Valuation'!C17*1.15</f>
        <v>1782.8675973714967</v>
      </c>
      <c r="E9" s="24"/>
    </row>
    <row r="11" spans="1:5" x14ac:dyDescent="0.25">
      <c r="B11" s="40" t="s">
        <v>516</v>
      </c>
      <c r="C11" s="56">
        <f>MIN(C5,C6,C7)</f>
        <v>625.44996139283091</v>
      </c>
      <c r="D11" s="56">
        <f>MAX(D5,D6,D7)</f>
        <v>1064.1279786359901</v>
      </c>
      <c r="E11" s="24"/>
    </row>
  </sheetData>
  <mergeCells count="2">
    <mergeCell ref="A2:E2"/>
    <mergeCell ref="A1:E1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3"/>
  <sheetViews>
    <sheetView workbookViewId="0">
      <selection activeCell="F21" sqref="F21"/>
    </sheetView>
  </sheetViews>
  <sheetFormatPr defaultRowHeight="15" x14ac:dyDescent="0.25"/>
  <cols>
    <col min="1" max="1" width="3" customWidth="1"/>
    <col min="2" max="2" width="49.42578125" bestFit="1" customWidth="1"/>
    <col min="3" max="3" width="4.85546875" bestFit="1" customWidth="1"/>
    <col min="4" max="4" width="5.5703125" bestFit="1" customWidth="1"/>
    <col min="5" max="5" width="71.7109375" bestFit="1" customWidth="1"/>
  </cols>
  <sheetData>
    <row r="1" spans="1:5" ht="26.1" customHeight="1" x14ac:dyDescent="0.25">
      <c r="A1" s="78" t="s">
        <v>517</v>
      </c>
      <c r="B1" s="74"/>
      <c r="C1" s="74"/>
      <c r="D1" s="74"/>
      <c r="E1" s="74"/>
    </row>
    <row r="2" spans="1:5" ht="18" customHeight="1" x14ac:dyDescent="0.25">
      <c r="A2" s="77" t="s">
        <v>518</v>
      </c>
      <c r="B2" s="74"/>
      <c r="C2" s="74"/>
      <c r="D2" s="74"/>
      <c r="E2" s="74"/>
    </row>
    <row r="4" spans="1:5" x14ac:dyDescent="0.25">
      <c r="B4" s="4" t="s">
        <v>263</v>
      </c>
      <c r="C4" s="4" t="s">
        <v>519</v>
      </c>
      <c r="D4" s="4" t="s">
        <v>520</v>
      </c>
      <c r="E4" s="4" t="s">
        <v>346</v>
      </c>
    </row>
    <row r="5" spans="1:5" x14ac:dyDescent="0.25">
      <c r="B5" s="5" t="s">
        <v>521</v>
      </c>
      <c r="C5" s="50">
        <f>'Football Field'!C11</f>
        <v>625.44996139283091</v>
      </c>
      <c r="D5" s="50">
        <f>'Football Field'!D11</f>
        <v>1064.1279786359901</v>
      </c>
      <c r="E5" s="24"/>
    </row>
    <row r="6" spans="1:5" x14ac:dyDescent="0.25">
      <c r="B6" s="5" t="s">
        <v>522</v>
      </c>
      <c r="C6" s="83" t="s">
        <v>232</v>
      </c>
      <c r="D6" s="85"/>
      <c r="E6" s="61" t="s">
        <v>523</v>
      </c>
    </row>
    <row r="7" spans="1:5" x14ac:dyDescent="0.25">
      <c r="B7" s="40" t="s">
        <v>524</v>
      </c>
      <c r="C7" s="83" t="s">
        <v>525</v>
      </c>
      <c r="D7" s="85"/>
      <c r="E7" s="25" t="s">
        <v>526</v>
      </c>
    </row>
    <row r="9" spans="1:5" ht="15.95" customHeight="1" x14ac:dyDescent="0.25">
      <c r="A9" s="73" t="s">
        <v>527</v>
      </c>
      <c r="B9" s="74"/>
      <c r="C9" s="74"/>
      <c r="D9" s="74"/>
      <c r="E9" s="74"/>
    </row>
    <row r="10" spans="1:5" ht="45.75" x14ac:dyDescent="0.25">
      <c r="B10" s="5" t="s">
        <v>528</v>
      </c>
      <c r="C10" s="83" t="s">
        <v>232</v>
      </c>
      <c r="D10" s="85"/>
      <c r="E10" s="29" t="s">
        <v>529</v>
      </c>
    </row>
    <row r="11" spans="1:5" ht="45.75" x14ac:dyDescent="0.25">
      <c r="B11" s="5" t="s">
        <v>234</v>
      </c>
      <c r="C11" s="83" t="s">
        <v>232</v>
      </c>
      <c r="D11" s="85"/>
      <c r="E11" s="29" t="s">
        <v>529</v>
      </c>
    </row>
    <row r="12" spans="1:5" ht="45.75" x14ac:dyDescent="0.25">
      <c r="B12" s="5" t="s">
        <v>236</v>
      </c>
      <c r="C12" s="83" t="s">
        <v>232</v>
      </c>
      <c r="D12" s="85"/>
      <c r="E12" s="29" t="s">
        <v>529</v>
      </c>
    </row>
    <row r="13" spans="1:5" ht="45.75" x14ac:dyDescent="0.25">
      <c r="B13" s="5" t="s">
        <v>530</v>
      </c>
      <c r="C13" s="83" t="s">
        <v>232</v>
      </c>
      <c r="D13" s="85"/>
      <c r="E13" s="29" t="s">
        <v>529</v>
      </c>
    </row>
  </sheetData>
  <mergeCells count="9">
    <mergeCell ref="A1:E1"/>
    <mergeCell ref="C13:D13"/>
    <mergeCell ref="A9:E9"/>
    <mergeCell ref="C12:D12"/>
    <mergeCell ref="C6:D6"/>
    <mergeCell ref="C7:D7"/>
    <mergeCell ref="C10:D10"/>
    <mergeCell ref="A2:E2"/>
    <mergeCell ref="C11:D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6"/>
  <sheetViews>
    <sheetView workbookViewId="0">
      <selection activeCell="H11" sqref="H11"/>
    </sheetView>
  </sheetViews>
  <sheetFormatPr defaultRowHeight="15" x14ac:dyDescent="0.25"/>
  <cols>
    <col min="1" max="1" width="3" customWidth="1"/>
    <col min="2" max="2" width="30.5703125" bestFit="1" customWidth="1"/>
    <col min="3" max="3" width="16.42578125" bestFit="1" customWidth="1"/>
    <col min="4" max="4" width="136.7109375" bestFit="1" customWidth="1"/>
    <col min="5" max="5" width="29.140625" bestFit="1" customWidth="1"/>
  </cols>
  <sheetData>
    <row r="1" spans="1:5" ht="26.1" customHeight="1" x14ac:dyDescent="0.25">
      <c r="A1" s="78" t="s">
        <v>531</v>
      </c>
      <c r="B1" s="74"/>
      <c r="C1" s="74"/>
      <c r="D1" s="74"/>
      <c r="E1" s="74"/>
    </row>
    <row r="2" spans="1:5" ht="18" customHeight="1" x14ac:dyDescent="0.25">
      <c r="A2" s="77" t="s">
        <v>532</v>
      </c>
      <c r="B2" s="74"/>
      <c r="C2" s="74"/>
      <c r="D2" s="74"/>
      <c r="E2" s="74"/>
    </row>
    <row r="4" spans="1:5" x14ac:dyDescent="0.25">
      <c r="B4" s="4" t="s">
        <v>533</v>
      </c>
      <c r="C4" s="4" t="s">
        <v>47</v>
      </c>
      <c r="D4" s="4" t="s">
        <v>534</v>
      </c>
      <c r="E4" s="4" t="s">
        <v>242</v>
      </c>
    </row>
    <row r="5" spans="1:5" ht="45.95" customHeight="1" x14ac:dyDescent="0.25">
      <c r="B5" s="5" t="s">
        <v>535</v>
      </c>
      <c r="C5" s="68" t="s">
        <v>536</v>
      </c>
      <c r="D5" s="71" t="s">
        <v>537</v>
      </c>
      <c r="E5" s="15" t="s">
        <v>538</v>
      </c>
    </row>
    <row r="6" spans="1:5" ht="45.95" customHeight="1" x14ac:dyDescent="0.25">
      <c r="B6" s="5" t="s">
        <v>539</v>
      </c>
      <c r="C6" s="66" t="s">
        <v>540</v>
      </c>
      <c r="D6" s="71" t="s">
        <v>541</v>
      </c>
      <c r="E6" s="15" t="s">
        <v>542</v>
      </c>
    </row>
    <row r="7" spans="1:5" ht="45.95" customHeight="1" x14ac:dyDescent="0.25">
      <c r="B7" s="5" t="s">
        <v>543</v>
      </c>
      <c r="C7" s="69" t="s">
        <v>75</v>
      </c>
      <c r="D7" s="71" t="s">
        <v>544</v>
      </c>
      <c r="E7" s="15" t="s">
        <v>545</v>
      </c>
    </row>
    <row r="8" spans="1:5" ht="45.95" customHeight="1" x14ac:dyDescent="0.25">
      <c r="B8" s="5" t="s">
        <v>546</v>
      </c>
      <c r="C8" s="70" t="s">
        <v>547</v>
      </c>
      <c r="D8" s="71" t="s">
        <v>548</v>
      </c>
      <c r="E8" s="15" t="s">
        <v>549</v>
      </c>
    </row>
    <row r="9" spans="1:5" ht="45.95" customHeight="1" x14ac:dyDescent="0.25">
      <c r="B9" s="5" t="s">
        <v>550</v>
      </c>
      <c r="C9" s="69" t="s">
        <v>75</v>
      </c>
      <c r="D9" s="71" t="s">
        <v>551</v>
      </c>
      <c r="E9" s="15" t="s">
        <v>552</v>
      </c>
    </row>
    <row r="10" spans="1:5" ht="45.95" customHeight="1" x14ac:dyDescent="0.25">
      <c r="B10" s="5" t="s">
        <v>553</v>
      </c>
      <c r="C10" s="66" t="s">
        <v>540</v>
      </c>
      <c r="D10" s="71" t="s">
        <v>554</v>
      </c>
      <c r="E10" s="15" t="s">
        <v>555</v>
      </c>
    </row>
    <row r="11" spans="1:5" ht="45.95" customHeight="1" x14ac:dyDescent="0.25">
      <c r="B11" s="5" t="s">
        <v>556</v>
      </c>
      <c r="C11" s="66" t="s">
        <v>540</v>
      </c>
      <c r="D11" s="71" t="s">
        <v>557</v>
      </c>
      <c r="E11" s="15" t="s">
        <v>558</v>
      </c>
    </row>
    <row r="12" spans="1:5" ht="45.95" customHeight="1" x14ac:dyDescent="0.25">
      <c r="B12" s="5" t="s">
        <v>559</v>
      </c>
      <c r="C12" s="68" t="s">
        <v>536</v>
      </c>
      <c r="D12" s="71" t="s">
        <v>560</v>
      </c>
      <c r="E12" s="15" t="s">
        <v>561</v>
      </c>
    </row>
    <row r="13" spans="1:5" ht="45.95" customHeight="1" x14ac:dyDescent="0.25">
      <c r="B13" s="5" t="s">
        <v>562</v>
      </c>
      <c r="C13" s="69" t="s">
        <v>75</v>
      </c>
      <c r="D13" s="71" t="s">
        <v>563</v>
      </c>
      <c r="E13" s="15" t="s">
        <v>564</v>
      </c>
    </row>
    <row r="15" spans="1:5" ht="15.95" customHeight="1" x14ac:dyDescent="0.25">
      <c r="A15" s="73" t="s">
        <v>565</v>
      </c>
      <c r="B15" s="74"/>
      <c r="C15" s="74"/>
      <c r="D15" s="74"/>
      <c r="E15" s="74"/>
    </row>
    <row r="16" spans="1:5" ht="39.950000000000003" customHeight="1" x14ac:dyDescent="0.25">
      <c r="B16" s="99" t="s">
        <v>566</v>
      </c>
      <c r="C16" s="74"/>
      <c r="D16" s="74"/>
      <c r="E16" s="74"/>
    </row>
  </sheetData>
  <mergeCells count="4">
    <mergeCell ref="A2:E2"/>
    <mergeCell ref="A15:E15"/>
    <mergeCell ref="A1:E1"/>
    <mergeCell ref="B16:E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7"/>
  <sheetViews>
    <sheetView topLeftCell="A7" workbookViewId="0">
      <selection activeCell="M29" sqref="M29"/>
    </sheetView>
  </sheetViews>
  <sheetFormatPr defaultRowHeight="15" x14ac:dyDescent="0.25"/>
  <cols>
    <col min="1" max="1" width="3" customWidth="1"/>
    <col min="2" max="2" width="39.28515625" bestFit="1" customWidth="1"/>
    <col min="3" max="3" width="18.5703125" bestFit="1" customWidth="1"/>
    <col min="4" max="4" width="31.5703125" bestFit="1" customWidth="1"/>
    <col min="5" max="5" width="7.5703125" bestFit="1" customWidth="1"/>
    <col min="6" max="6" width="6" bestFit="1" customWidth="1"/>
    <col min="7" max="7" width="30" customWidth="1"/>
  </cols>
  <sheetData>
    <row r="1" spans="1:7" ht="26.1" customHeight="1" x14ac:dyDescent="0.25">
      <c r="A1" s="78" t="s">
        <v>567</v>
      </c>
      <c r="B1" s="74"/>
      <c r="C1" s="74"/>
      <c r="D1" s="74"/>
      <c r="E1" s="74"/>
      <c r="F1" s="74"/>
      <c r="G1" s="74"/>
    </row>
    <row r="2" spans="1:7" ht="18" customHeight="1" x14ac:dyDescent="0.25">
      <c r="A2" s="77" t="s">
        <v>568</v>
      </c>
      <c r="B2" s="74"/>
      <c r="C2" s="74"/>
      <c r="D2" s="74"/>
      <c r="E2" s="74"/>
      <c r="F2" s="74"/>
      <c r="G2" s="74"/>
    </row>
    <row r="4" spans="1:7" ht="15.95" customHeight="1" x14ac:dyDescent="0.25">
      <c r="A4" s="73" t="s">
        <v>569</v>
      </c>
      <c r="B4" s="74"/>
      <c r="C4" s="74"/>
      <c r="D4" s="74"/>
      <c r="E4" s="74"/>
      <c r="F4" s="74"/>
      <c r="G4" s="74"/>
    </row>
    <row r="5" spans="1:7" x14ac:dyDescent="0.25">
      <c r="B5" s="4" t="s">
        <v>263</v>
      </c>
      <c r="C5" s="4" t="s">
        <v>264</v>
      </c>
      <c r="D5" s="4" t="s">
        <v>265</v>
      </c>
      <c r="E5" s="4" t="s">
        <v>570</v>
      </c>
      <c r="F5" s="4" t="s">
        <v>346</v>
      </c>
    </row>
    <row r="6" spans="1:7" x14ac:dyDescent="0.25">
      <c r="B6" s="5" t="s">
        <v>296</v>
      </c>
      <c r="C6" s="37">
        <f>'Source Data'!C6</f>
        <v>59.7</v>
      </c>
      <c r="D6" s="37">
        <f>'Source Data'!D6</f>
        <v>55.9</v>
      </c>
      <c r="E6" s="27">
        <f>D6/C6-1</f>
        <v>-6.3651591289782261E-2</v>
      </c>
      <c r="F6" s="24"/>
      <c r="G6" s="24"/>
    </row>
    <row r="7" spans="1:7" x14ac:dyDescent="0.25">
      <c r="B7" s="5" t="s">
        <v>394</v>
      </c>
      <c r="C7" s="37">
        <f>'Source Data'!C7</f>
        <v>20.7</v>
      </c>
      <c r="D7" s="37">
        <f>'Source Data'!D7</f>
        <v>27.5</v>
      </c>
      <c r="E7" s="27">
        <f>D7/C7-1</f>
        <v>0.32850241545893732</v>
      </c>
      <c r="F7" s="24"/>
      <c r="G7" s="24"/>
    </row>
    <row r="8" spans="1:7" x14ac:dyDescent="0.25">
      <c r="B8" s="5" t="s">
        <v>493</v>
      </c>
      <c r="C8" s="36">
        <f>'Source Data'!C8</f>
        <v>0.34673366834170849</v>
      </c>
      <c r="D8" s="36">
        <f>'Source Data'!D8</f>
        <v>0.49194991055456172</v>
      </c>
      <c r="E8" s="27">
        <f>D8/C8-1</f>
        <v>0.41881206087475076</v>
      </c>
      <c r="F8" s="24"/>
      <c r="G8" s="24"/>
    </row>
    <row r="9" spans="1:7" x14ac:dyDescent="0.25">
      <c r="B9" s="5" t="s">
        <v>369</v>
      </c>
      <c r="C9" s="37">
        <f>'Source Data'!C9</f>
        <v>0.34</v>
      </c>
      <c r="D9" s="37">
        <f>'Source Data'!D9</f>
        <v>3</v>
      </c>
      <c r="E9" s="27">
        <f>D9/C9-1</f>
        <v>7.8235294117647047</v>
      </c>
      <c r="F9" s="24"/>
      <c r="G9" s="24"/>
    </row>
    <row r="11" spans="1:7" ht="15.95" customHeight="1" x14ac:dyDescent="0.25">
      <c r="A11" s="73" t="s">
        <v>571</v>
      </c>
      <c r="B11" s="74"/>
      <c r="C11" s="74"/>
      <c r="D11" s="74"/>
      <c r="E11" s="74"/>
      <c r="F11" s="74"/>
      <c r="G11" s="74"/>
    </row>
    <row r="12" spans="1:7" x14ac:dyDescent="0.25">
      <c r="B12" s="40" t="s">
        <v>572</v>
      </c>
      <c r="C12" s="62">
        <f>'Football Field'!C11</f>
        <v>625.44996139283091</v>
      </c>
      <c r="D12" s="62">
        <f>'Football Field'!D11</f>
        <v>1064.1279786359901</v>
      </c>
      <c r="E12" s="24"/>
      <c r="F12" s="24"/>
      <c r="G12" s="24"/>
    </row>
    <row r="14" spans="1:7" ht="15.95" customHeight="1" x14ac:dyDescent="0.25">
      <c r="A14" s="73" t="s">
        <v>573</v>
      </c>
      <c r="B14" s="74"/>
      <c r="C14" s="74"/>
      <c r="D14" s="74"/>
      <c r="E14" s="74"/>
      <c r="F14" s="74"/>
      <c r="G14" s="74"/>
    </row>
    <row r="15" spans="1:7" x14ac:dyDescent="0.25">
      <c r="B15" s="4"/>
      <c r="C15" s="4" t="s">
        <v>178</v>
      </c>
      <c r="D15" s="4" t="s">
        <v>175</v>
      </c>
      <c r="E15" s="4" t="s">
        <v>179</v>
      </c>
    </row>
    <row r="16" spans="1:7" x14ac:dyDescent="0.25">
      <c r="B16" s="5" t="s">
        <v>574</v>
      </c>
      <c r="C16" s="50">
        <f>'Scenario Analysis'!C15</f>
        <v>692.1333610057369</v>
      </c>
      <c r="D16" s="50">
        <f>'Scenario Analysis'!D15</f>
        <v>1205.5386358727565</v>
      </c>
      <c r="E16" s="50">
        <f>'Scenario Analysis'!E15</f>
        <v>1771.9069304766383</v>
      </c>
      <c r="F16" s="24"/>
      <c r="G16" s="24"/>
    </row>
    <row r="18" spans="1:7" ht="15.95" customHeight="1" x14ac:dyDescent="0.25">
      <c r="A18" s="73" t="s">
        <v>575</v>
      </c>
      <c r="B18" s="74"/>
      <c r="C18" s="74"/>
      <c r="D18" s="74"/>
      <c r="E18" s="74"/>
      <c r="F18" s="74"/>
      <c r="G18" s="74"/>
    </row>
    <row r="19" spans="1:7" x14ac:dyDescent="0.25">
      <c r="B19" s="100" t="s">
        <v>576</v>
      </c>
      <c r="C19" s="74"/>
      <c r="D19" s="74"/>
      <c r="E19" s="74"/>
      <c r="F19" s="74"/>
      <c r="G19" s="74"/>
    </row>
    <row r="20" spans="1:7" x14ac:dyDescent="0.25">
      <c r="B20" s="100" t="s">
        <v>577</v>
      </c>
      <c r="C20" s="74"/>
      <c r="D20" s="74"/>
      <c r="E20" s="74"/>
      <c r="F20" s="74"/>
      <c r="G20" s="74"/>
    </row>
    <row r="21" spans="1:7" x14ac:dyDescent="0.25">
      <c r="B21" s="100" t="s">
        <v>578</v>
      </c>
      <c r="C21" s="74"/>
      <c r="D21" s="74"/>
      <c r="E21" s="74"/>
      <c r="F21" s="74"/>
      <c r="G21" s="74"/>
    </row>
    <row r="23" spans="1:7" ht="15.95" customHeight="1" x14ac:dyDescent="0.25">
      <c r="A23" s="73" t="s">
        <v>579</v>
      </c>
      <c r="B23" s="74"/>
      <c r="C23" s="74"/>
      <c r="D23" s="74"/>
      <c r="E23" s="74"/>
      <c r="F23" s="74"/>
      <c r="G23" s="74"/>
    </row>
    <row r="24" spans="1:7" x14ac:dyDescent="0.25">
      <c r="B24" s="5" t="s">
        <v>580</v>
      </c>
      <c r="C24" s="63">
        <f>'Data Room Tracker'!C22</f>
        <v>0</v>
      </c>
      <c r="D24" s="24"/>
      <c r="E24" s="24"/>
      <c r="F24" s="24"/>
      <c r="G24" s="24"/>
    </row>
    <row r="25" spans="1:7" x14ac:dyDescent="0.25">
      <c r="B25" s="5" t="s">
        <v>581</v>
      </c>
      <c r="C25" s="63" t="str">
        <f>'Data Room Tracker'!C23</f>
        <v>Disclosed - reconcile</v>
      </c>
      <c r="D25" s="24"/>
      <c r="E25" s="24"/>
      <c r="F25" s="24"/>
      <c r="G25" s="24"/>
    </row>
    <row r="26" spans="1:7" x14ac:dyDescent="0.25">
      <c r="B26" s="5" t="s">
        <v>582</v>
      </c>
      <c r="C26" s="63">
        <f>'Data Room Tracker'!C24</f>
        <v>0</v>
      </c>
      <c r="D26" s="24"/>
      <c r="E26" s="24"/>
      <c r="F26" s="24"/>
      <c r="G26" s="24"/>
    </row>
    <row r="28" spans="1:7" ht="15.95" customHeight="1" x14ac:dyDescent="0.25">
      <c r="A28" s="73" t="s">
        <v>583</v>
      </c>
      <c r="B28" s="74"/>
      <c r="C28" s="74"/>
      <c r="D28" s="74"/>
      <c r="E28" s="74"/>
      <c r="F28" s="74"/>
      <c r="G28" s="74"/>
    </row>
    <row r="29" spans="1:7" ht="25.5" x14ac:dyDescent="0.25">
      <c r="B29" s="4" t="s">
        <v>584</v>
      </c>
      <c r="C29" s="4" t="s">
        <v>585</v>
      </c>
      <c r="D29" s="4" t="s">
        <v>586</v>
      </c>
      <c r="E29" s="4" t="s">
        <v>112</v>
      </c>
    </row>
    <row r="30" spans="1:7" ht="26.1" customHeight="1" x14ac:dyDescent="0.25">
      <c r="B30" s="5" t="s">
        <v>491</v>
      </c>
      <c r="C30" s="31" t="s">
        <v>587</v>
      </c>
      <c r="D30" s="71" t="s">
        <v>588</v>
      </c>
      <c r="E30" s="66" t="s">
        <v>117</v>
      </c>
      <c r="F30" s="24"/>
      <c r="G30" s="24"/>
    </row>
    <row r="31" spans="1:7" ht="26.1" customHeight="1" x14ac:dyDescent="0.25">
      <c r="B31" s="5" t="s">
        <v>493</v>
      </c>
      <c r="C31" s="31" t="s">
        <v>589</v>
      </c>
      <c r="D31" s="71" t="s">
        <v>590</v>
      </c>
      <c r="E31" s="68" t="s">
        <v>122</v>
      </c>
      <c r="F31" s="24"/>
      <c r="G31" s="24"/>
    </row>
    <row r="32" spans="1:7" ht="26.1" customHeight="1" x14ac:dyDescent="0.25">
      <c r="B32" s="5" t="s">
        <v>252</v>
      </c>
      <c r="C32" s="31" t="s">
        <v>591</v>
      </c>
      <c r="D32" s="71" t="s">
        <v>592</v>
      </c>
      <c r="E32" s="69" t="s">
        <v>127</v>
      </c>
      <c r="F32" s="24"/>
      <c r="G32" s="24"/>
    </row>
    <row r="33" spans="2:7" ht="26.1" customHeight="1" x14ac:dyDescent="0.25">
      <c r="B33" s="5" t="s">
        <v>593</v>
      </c>
      <c r="C33" s="31" t="s">
        <v>594</v>
      </c>
      <c r="D33" s="71" t="s">
        <v>595</v>
      </c>
      <c r="E33" s="70" t="s">
        <v>132</v>
      </c>
      <c r="F33" s="24"/>
      <c r="G33" s="24"/>
    </row>
    <row r="34" spans="2:7" ht="26.1" customHeight="1" x14ac:dyDescent="0.25">
      <c r="B34" s="5" t="s">
        <v>596</v>
      </c>
      <c r="C34" s="31" t="s">
        <v>597</v>
      </c>
      <c r="D34" s="71" t="s">
        <v>598</v>
      </c>
      <c r="E34" s="69" t="s">
        <v>127</v>
      </c>
      <c r="F34" s="24"/>
      <c r="G34" s="24"/>
    </row>
    <row r="35" spans="2:7" ht="26.1" customHeight="1" x14ac:dyDescent="0.25">
      <c r="B35" s="5" t="s">
        <v>599</v>
      </c>
      <c r="C35" s="31" t="s">
        <v>600</v>
      </c>
      <c r="D35" s="71" t="s">
        <v>601</v>
      </c>
      <c r="E35" s="70" t="s">
        <v>132</v>
      </c>
      <c r="F35" s="24"/>
      <c r="G35" s="24"/>
    </row>
    <row r="37" spans="2:7" x14ac:dyDescent="0.25">
      <c r="B37" s="101" t="s">
        <v>602</v>
      </c>
      <c r="C37" s="74"/>
      <c r="D37" s="74"/>
      <c r="E37" s="74"/>
      <c r="F37" s="74"/>
      <c r="G37" s="74"/>
    </row>
  </sheetData>
  <mergeCells count="12">
    <mergeCell ref="B37:G37"/>
    <mergeCell ref="A4:G4"/>
    <mergeCell ref="A2:G2"/>
    <mergeCell ref="B21:G21"/>
    <mergeCell ref="A11:G11"/>
    <mergeCell ref="A28:G28"/>
    <mergeCell ref="A23:G23"/>
    <mergeCell ref="B19:G19"/>
    <mergeCell ref="A14:G14"/>
    <mergeCell ref="B20:G20"/>
    <mergeCell ref="A1:G1"/>
    <mergeCell ref="A18:G1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4"/>
  <sheetViews>
    <sheetView workbookViewId="0">
      <selection activeCell="C9" sqref="C9"/>
    </sheetView>
  </sheetViews>
  <sheetFormatPr defaultRowHeight="15" x14ac:dyDescent="0.25"/>
  <cols>
    <col min="1" max="1" width="3" customWidth="1"/>
    <col min="2" max="2" width="82.42578125" bestFit="1" customWidth="1"/>
    <col min="3" max="3" width="9.28515625" bestFit="1" customWidth="1"/>
    <col min="4" max="4" width="42.5703125" bestFit="1" customWidth="1"/>
    <col min="5" max="5" width="93.85546875" bestFit="1" customWidth="1"/>
  </cols>
  <sheetData>
    <row r="1" spans="1:5" ht="26.1" customHeight="1" x14ac:dyDescent="0.25">
      <c r="A1" s="78" t="s">
        <v>603</v>
      </c>
      <c r="B1" s="74"/>
      <c r="C1" s="74"/>
      <c r="D1" s="74"/>
      <c r="E1" s="74"/>
    </row>
    <row r="2" spans="1:5" ht="18" customHeight="1" x14ac:dyDescent="0.25">
      <c r="A2" s="77" t="s">
        <v>604</v>
      </c>
      <c r="B2" s="74"/>
      <c r="C2" s="74"/>
      <c r="D2" s="74"/>
      <c r="E2" s="74"/>
    </row>
    <row r="4" spans="1:5" x14ac:dyDescent="0.25">
      <c r="B4" s="4" t="s">
        <v>605</v>
      </c>
      <c r="C4" s="4" t="s">
        <v>606</v>
      </c>
      <c r="D4" s="4" t="s">
        <v>607</v>
      </c>
      <c r="E4" s="4" t="s">
        <v>346</v>
      </c>
    </row>
    <row r="5" spans="1:5" x14ac:dyDescent="0.25">
      <c r="B5" s="5" t="s">
        <v>608</v>
      </c>
      <c r="C5" s="37">
        <f>'Revenue Build'!C13</f>
        <v>0</v>
      </c>
      <c r="D5" s="5" t="str">
        <f>IF(ABS(C5)&lt;0.01,"PASS","FAIL")</f>
        <v>PASS</v>
      </c>
      <c r="E5" s="24"/>
    </row>
    <row r="6" spans="1:5" ht="27.95" customHeight="1" x14ac:dyDescent="0.25">
      <c r="B6" s="5" t="s">
        <v>609</v>
      </c>
      <c r="C6" s="34">
        <f>'Operating Drivers'!C8-'Source Data'!D11</f>
        <v>-6.4799999999998192E-2</v>
      </c>
      <c r="D6" s="5" t="str">
        <f>IF(ABS(C6)&lt;0.15,"PASS (rounding)","FAIL")</f>
        <v>PASS (rounding)</v>
      </c>
      <c r="E6" s="15" t="s">
        <v>610</v>
      </c>
    </row>
    <row r="7" spans="1:5" x14ac:dyDescent="0.25">
      <c r="B7" s="5" t="s">
        <v>611</v>
      </c>
      <c r="C7" s="37">
        <f>'EBITDA Build'!C15-'Source Data'!D7</f>
        <v>0</v>
      </c>
      <c r="D7" s="5" t="str">
        <f>IF(ABS(C7)&lt;0.01,"PASS","FAIL")</f>
        <v>PASS</v>
      </c>
      <c r="E7" s="24"/>
    </row>
    <row r="8" spans="1:5" x14ac:dyDescent="0.25">
      <c r="B8" s="5" t="s">
        <v>612</v>
      </c>
      <c r="C8" s="45">
        <f>Assumptions!F18-Assumptions!D18</f>
        <v>0</v>
      </c>
      <c r="D8" s="5" t="str">
        <f>IF(AND(Assumptions!$C$4="Base",ABS(C8)&lt;0.0001),"PASS","CHECK SCENARIO TOGGLE")</f>
        <v>PASS</v>
      </c>
      <c r="E8" s="24"/>
    </row>
    <row r="9" spans="1:5" x14ac:dyDescent="0.25">
      <c r="B9" s="5" t="s">
        <v>613</v>
      </c>
      <c r="C9" s="45">
        <f>WACC!C16</f>
        <v>0.1128</v>
      </c>
      <c r="D9" s="5" t="str">
        <f>IF(AND(C9&gt;0.07,C9&lt;0.16),"PASS","REVIEW")</f>
        <v>PASS</v>
      </c>
      <c r="E9" s="24"/>
    </row>
    <row r="10" spans="1:5" x14ac:dyDescent="0.25">
      <c r="B10" s="5" t="s">
        <v>614</v>
      </c>
      <c r="C10" s="50">
        <f>'Football Field'!D11-'Football Field'!C11</f>
        <v>438.67801724315916</v>
      </c>
      <c r="D10" s="5" t="str">
        <f>IF(C10&gt;=0,"PASS","FAIL")</f>
        <v>PASS</v>
      </c>
      <c r="E10" s="24"/>
    </row>
    <row r="11" spans="1:5" x14ac:dyDescent="0.25">
      <c r="B11" s="5" t="s">
        <v>615</v>
      </c>
      <c r="C11" s="63" t="str">
        <f>'IPO Valuation Summary'!C6</f>
        <v>PENDING</v>
      </c>
      <c r="D11" s="5" t="str">
        <f>"Expected: PENDING (net debt not yet disclosed)"</f>
        <v>Expected: PENDING (net debt not yet disclosed)</v>
      </c>
      <c r="E11" s="24"/>
    </row>
    <row r="13" spans="1:5" ht="15.95" customHeight="1" x14ac:dyDescent="0.25">
      <c r="A13" s="73" t="s">
        <v>616</v>
      </c>
      <c r="B13" s="74"/>
      <c r="C13" s="74"/>
      <c r="D13" s="74"/>
      <c r="E13" s="74"/>
    </row>
    <row r="14" spans="1:5" x14ac:dyDescent="0.25">
      <c r="B14" s="1" t="s">
        <v>617</v>
      </c>
      <c r="C14" s="102" t="str">
        <f>IF(AND(D5="PASS",D6="PASS (rounding)",D7="PASS",D9="PASS",D10="PASS"),"ALL CHECKS PASS — model internally consistent","REVIEW REQUIRED — see failed checks above")</f>
        <v>ALL CHECKS PASS — model internally consistent</v>
      </c>
      <c r="D14" s="74"/>
      <c r="E14" s="74"/>
    </row>
  </sheetData>
  <mergeCells count="4">
    <mergeCell ref="A2:E2"/>
    <mergeCell ref="A1:E1"/>
    <mergeCell ref="C14:E14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Cover &amp; Control</vt:lpstr>
      <vt:lpstr>Data Room Tracker</vt:lpstr>
      <vt:lpstr>Management Guidance Tracker</vt:lpstr>
      <vt:lpstr>Assumptions</vt:lpstr>
      <vt:lpstr>Source Data</vt:lpstr>
      <vt:lpstr>Comparable Companies</vt:lpstr>
      <vt:lpstr>Operating Drivers</vt:lpstr>
      <vt:lpstr>Subscriber &amp; ARPU Fcst</vt:lpstr>
      <vt:lpstr>Revenue Build</vt:lpstr>
      <vt:lpstr>EBITDA Build</vt:lpstr>
      <vt:lpstr>CapEx</vt:lpstr>
      <vt:lpstr>Free Cash Flow</vt:lpstr>
      <vt:lpstr>WACC</vt:lpstr>
      <vt:lpstr>DCF Valuation</vt:lpstr>
      <vt:lpstr>Trading Multiples</vt:lpstr>
      <vt:lpstr>Scenario Analysis</vt:lpstr>
      <vt:lpstr>Sensitivity Analysis</vt:lpstr>
      <vt:lpstr>Football Field</vt:lpstr>
      <vt:lpstr>IPO Valuation Summary</vt:lpstr>
      <vt:lpstr>IPO Readiness Scorecard</vt:lpstr>
      <vt:lpstr>Dashboard</vt:lpstr>
      <vt:lpstr>Audit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2026-07-30T18:09:53Z</dcterms:created>
  <dcterms:modified xsi:type="dcterms:W3CDTF">2026-07-31T09:42:56Z</dcterms:modified>
</cp:coreProperties>
</file>