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9.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0.xml" ContentType="application/vnd.openxmlformats-officedocument.drawing+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80C0C944-96E2-4C6A-BF5E-0767A955EC80}" xr6:coauthVersionLast="47" xr6:coauthVersionMax="47" xr10:uidLastSave="{00000000-0000-0000-0000-000000000000}"/>
  <bookViews>
    <workbookView xWindow="-120" yWindow="-120" windowWidth="29040" windowHeight="15840" tabRatio="500" firstSheet="9" activeTab="12" xr2:uid="{00000000-000D-0000-FFFF-FFFF00000000}"/>
  </bookViews>
  <sheets>
    <sheet name="Cover" sheetId="1" r:id="rId1"/>
    <sheet name="Instructions" sheetId="2" r:id="rId2"/>
    <sheet name="Raw Financial Data" sheetId="3" r:id="rId3"/>
    <sheet name="Historical Financial Statements" sheetId="4" r:id="rId4"/>
    <sheet name="Assumptions" sheetId="5" r:id="rId5"/>
    <sheet name="Revenue Forecast" sheetId="6" r:id="rId6"/>
    <sheet name="Operating Forecast" sheetId="7" r:id="rId7"/>
    <sheet name="DCF Valuation" sheetId="8" r:id="rId8"/>
    <sheet name="Trading Comparables" sheetId="9" r:id="rId9"/>
    <sheet name="Sensitivity Analysis" sheetId="10" r:id="rId10"/>
    <sheet name="Executive Dashboard" sheetId="11" r:id="rId11"/>
    <sheet name="Banglalink Strategic Insights" sheetId="12" r:id="rId12"/>
    <sheet name="Investment Summary" sheetId="13" r:id="rId13"/>
  </sheets>
  <definedNames>
    <definedName name="Assum_TaxRate">Assumptions!$B$21</definedName>
    <definedName name="Assum_TermGrowth">Assumptions!$B$38</definedName>
    <definedName name="Assum_WACC">Assumptions!$B$36</definedName>
    <definedName name="Comps_EVEBITDA_Median">'Trading Comparables'!$H$14</definedName>
    <definedName name="Comps_EVSales_Median">'Trading Comparables'!$I$14</definedName>
    <definedName name="Cover_ReportDate">Cover!$E$17</definedName>
    <definedName name="Cover_Version">Cover!$F$20</definedName>
    <definedName name="DCF_EquityValue">'DCF Valuation'!$B$16</definedName>
    <definedName name="DCF_EV">'DCF Valuation'!$B$13</definedName>
    <definedName name="DCF_ImpliedPrice">'DCF Valuation'!$B$18</definedName>
    <definedName name="Fcst_Digital_Pct">'Revenue Forecast'!B16:G16</definedName>
    <definedName name="Fcst_EBITDA">'Operating Forecast'!B12:G12</definedName>
    <definedName name="Fcst_Revenue_Total">'Revenue Forecast'!B9:G9</definedName>
    <definedName name="Fcst_UFCF">'Operating Forecast'!C21:G21</definedName>
    <definedName name="Hist_EBITDA">'Historical Financial Statements'!B7:F7</definedName>
    <definedName name="Hist_FCF">'Historical Financial Statements'!B15:F15</definedName>
    <definedName name="Hist_NetDebt">'Historical Financial Statements'!B19:F19</definedName>
    <definedName name="Hist_Revenue">'Historical Financial Statements'!B5:F5</definedName>
    <definedName name="Raw_EBITDA_Total">'Raw Financial Data'!C11:G11</definedName>
    <definedName name="Raw_NetDebt">'Raw Financial Data'!C16:G16</definedName>
    <definedName name="Raw_Revenue_Total">'Raw Financial Data'!C9:G9</definedName>
    <definedName name="Sens_TermGrowth_Range">'Sensitivity Analysis'!B4:F4</definedName>
    <definedName name="Sens_WACC_Range">'Sensitivity Analysis'!A5:A9</definedName>
    <definedName name="Summary_Rating">'Investment Summary'!$B$3</definedName>
    <definedName name="Summary_TargetPrice">'Investment Summary'!$B$4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13" l="1"/>
  <c r="B11" i="12"/>
  <c r="C6" i="12"/>
  <c r="F5" i="12"/>
  <c r="F6" i="12" s="1"/>
  <c r="E5" i="12"/>
  <c r="D5" i="12"/>
  <c r="E6" i="12" s="1"/>
  <c r="C5" i="12"/>
  <c r="B5" i="12"/>
  <c r="A6" i="11"/>
  <c r="K1" i="11"/>
  <c r="F4" i="10"/>
  <c r="E4" i="10"/>
  <c r="D4" i="10"/>
  <c r="C4" i="10"/>
  <c r="B4" i="10"/>
  <c r="J15" i="9"/>
  <c r="J14" i="9"/>
  <c r="I11" i="9"/>
  <c r="H11" i="9"/>
  <c r="E11" i="9"/>
  <c r="E10" i="9"/>
  <c r="I10" i="9" s="1"/>
  <c r="H9" i="9"/>
  <c r="E9" i="9"/>
  <c r="I9" i="9" s="1"/>
  <c r="I8" i="9"/>
  <c r="E8" i="9"/>
  <c r="H8" i="9" s="1"/>
  <c r="I7" i="9"/>
  <c r="H7" i="9"/>
  <c r="E7" i="9"/>
  <c r="E6" i="9"/>
  <c r="I6" i="9" s="1"/>
  <c r="H5" i="9"/>
  <c r="E5" i="9"/>
  <c r="I5" i="9" s="1"/>
  <c r="I14" i="9" s="1"/>
  <c r="I19" i="9" s="1"/>
  <c r="I4" i="9"/>
  <c r="I15" i="9" s="1"/>
  <c r="E4" i="9"/>
  <c r="H4" i="9" s="1"/>
  <c r="B17" i="8"/>
  <c r="B34" i="13" s="1"/>
  <c r="F5" i="8"/>
  <c r="E5" i="8"/>
  <c r="D5" i="8"/>
  <c r="C5" i="8"/>
  <c r="B5" i="8"/>
  <c r="C26" i="7"/>
  <c r="B19" i="7"/>
  <c r="B16" i="7"/>
  <c r="B12" i="7"/>
  <c r="B17" i="7" s="1"/>
  <c r="B21" i="7" s="1"/>
  <c r="B11" i="7"/>
  <c r="B10" i="7"/>
  <c r="B9" i="7"/>
  <c r="B8" i="7"/>
  <c r="B7" i="7"/>
  <c r="B6" i="7"/>
  <c r="C8" i="6"/>
  <c r="D8" i="6" s="1"/>
  <c r="B8" i="6"/>
  <c r="B7" i="6"/>
  <c r="C7" i="6" s="1"/>
  <c r="C6" i="6"/>
  <c r="D6" i="6" s="1"/>
  <c r="B6" i="6"/>
  <c r="B5" i="6"/>
  <c r="C5" i="6" s="1"/>
  <c r="C4" i="6"/>
  <c r="D4" i="6" s="1"/>
  <c r="B4" i="6"/>
  <c r="B3" i="6"/>
  <c r="C3" i="6" s="1"/>
  <c r="C52" i="5"/>
  <c r="B35" i="5"/>
  <c r="B33" i="5"/>
  <c r="B30" i="5"/>
  <c r="C51" i="5" s="1"/>
  <c r="B52" i="5" s="1"/>
  <c r="F19" i="4"/>
  <c r="F20" i="4" s="1"/>
  <c r="Q6" i="11" s="1"/>
  <c r="E19" i="4"/>
  <c r="D19" i="4"/>
  <c r="C19" i="4"/>
  <c r="C20" i="4" s="1"/>
  <c r="B19" i="4"/>
  <c r="B20" i="4" s="1"/>
  <c r="G15" i="4"/>
  <c r="F15" i="4"/>
  <c r="I11" i="11" s="1"/>
  <c r="E15" i="4"/>
  <c r="D15" i="4"/>
  <c r="C15" i="4"/>
  <c r="B15" i="4"/>
  <c r="B16" i="4" s="1"/>
  <c r="G14" i="4"/>
  <c r="F14" i="4"/>
  <c r="E14" i="4"/>
  <c r="D14" i="4"/>
  <c r="C14" i="4"/>
  <c r="B14" i="4"/>
  <c r="F11" i="4"/>
  <c r="E11" i="4"/>
  <c r="B11" i="4"/>
  <c r="F9" i="4"/>
  <c r="G9" i="4" s="1"/>
  <c r="E9" i="4"/>
  <c r="D9" i="4"/>
  <c r="C9" i="4"/>
  <c r="B9" i="4"/>
  <c r="F7" i="4"/>
  <c r="G12" i="9" s="1"/>
  <c r="E7" i="4"/>
  <c r="E20" i="4" s="1"/>
  <c r="D7" i="4"/>
  <c r="D8" i="4" s="1"/>
  <c r="D26" i="4" s="1"/>
  <c r="C7" i="4"/>
  <c r="B7" i="4"/>
  <c r="B8" i="4" s="1"/>
  <c r="B26" i="4" s="1"/>
  <c r="F5" i="4"/>
  <c r="B5" i="4"/>
  <c r="B10" i="4" s="1"/>
  <c r="E20" i="3"/>
  <c r="C20" i="3"/>
  <c r="G9" i="3"/>
  <c r="F9" i="3"/>
  <c r="F20" i="3" s="1"/>
  <c r="E9" i="3"/>
  <c r="D5" i="4" s="1"/>
  <c r="D9" i="3"/>
  <c r="C5" i="4" s="1"/>
  <c r="C9" i="3"/>
  <c r="C8" i="7" l="1"/>
  <c r="D5" i="6"/>
  <c r="E6" i="6"/>
  <c r="D9" i="7"/>
  <c r="C16" i="4"/>
  <c r="C6" i="4"/>
  <c r="C8" i="4"/>
  <c r="C26" i="4" s="1"/>
  <c r="C10" i="7"/>
  <c r="D7" i="6"/>
  <c r="H14" i="9"/>
  <c r="H19" i="9" s="1"/>
  <c r="C10" i="4"/>
  <c r="E8" i="6"/>
  <c r="D11" i="7"/>
  <c r="C6" i="7"/>
  <c r="D3" i="6"/>
  <c r="C9" i="6"/>
  <c r="E4" i="6"/>
  <c r="D7" i="7"/>
  <c r="D16" i="4"/>
  <c r="D6" i="4"/>
  <c r="D10" i="4"/>
  <c r="E5" i="4"/>
  <c r="E6" i="4" s="1"/>
  <c r="G7" i="4"/>
  <c r="F16" i="4"/>
  <c r="M6" i="11"/>
  <c r="D6" i="12"/>
  <c r="B9" i="6"/>
  <c r="C9" i="7"/>
  <c r="D12" i="9"/>
  <c r="E12" i="9" s="1"/>
  <c r="D20" i="4"/>
  <c r="G5" i="4"/>
  <c r="A11" i="11" s="1"/>
  <c r="C7" i="7"/>
  <c r="C11" i="7"/>
  <c r="E8" i="4"/>
  <c r="E26" i="4" s="1"/>
  <c r="F10" i="4"/>
  <c r="F12" i="9"/>
  <c r="F8" i="4"/>
  <c r="D20" i="3"/>
  <c r="G19" i="4"/>
  <c r="B14" i="8"/>
  <c r="B36" i="5"/>
  <c r="H6" i="9"/>
  <c r="H15" i="9" s="1"/>
  <c r="H10" i="9"/>
  <c r="I12" i="9" l="1"/>
  <c r="H12" i="9"/>
  <c r="E7" i="7"/>
  <c r="F4" i="6"/>
  <c r="E7" i="6"/>
  <c r="D10" i="7"/>
  <c r="C16" i="6"/>
  <c r="C10" i="6"/>
  <c r="C13" i="6"/>
  <c r="C3" i="7"/>
  <c r="B16" i="6"/>
  <c r="B3" i="7"/>
  <c r="B13" i="7" s="1"/>
  <c r="B14" i="7" s="1"/>
  <c r="B13" i="6"/>
  <c r="E3" i="6"/>
  <c r="D6" i="7"/>
  <c r="D9" i="6"/>
  <c r="E11" i="7"/>
  <c r="F8" i="6"/>
  <c r="E9" i="7"/>
  <c r="F6" i="6"/>
  <c r="E11" i="11"/>
  <c r="F26" i="4"/>
  <c r="F6" i="4"/>
  <c r="E5" i="6"/>
  <c r="D8" i="7"/>
  <c r="B17" i="9"/>
  <c r="C12" i="7"/>
  <c r="E6" i="8"/>
  <c r="D6" i="8"/>
  <c r="C6" i="8"/>
  <c r="A6" i="10"/>
  <c r="B6" i="8"/>
  <c r="A8" i="10"/>
  <c r="F6" i="8"/>
  <c r="B39" i="5"/>
  <c r="C53" i="5"/>
  <c r="B22" i="8"/>
  <c r="A9" i="10"/>
  <c r="A7" i="10"/>
  <c r="A5" i="10"/>
  <c r="E16" i="4"/>
  <c r="E10" i="4"/>
  <c r="E8" i="7" l="1"/>
  <c r="F5" i="6"/>
  <c r="C16" i="7"/>
  <c r="C19" i="7"/>
  <c r="E10" i="7"/>
  <c r="F7" i="6"/>
  <c r="D10" i="6"/>
  <c r="D16" i="6"/>
  <c r="D3" i="7"/>
  <c r="D13" i="6"/>
  <c r="F7" i="7"/>
  <c r="G4" i="6"/>
  <c r="G7" i="7" s="1"/>
  <c r="D28" i="7" s="1"/>
  <c r="C28" i="7" s="1"/>
  <c r="F9" i="7"/>
  <c r="G6" i="6"/>
  <c r="G9" i="7" s="1"/>
  <c r="D30" i="7" s="1"/>
  <c r="C30" i="7" s="1"/>
  <c r="F11" i="7"/>
  <c r="G8" i="6"/>
  <c r="G11" i="7" s="1"/>
  <c r="C17" i="7"/>
  <c r="C13" i="7"/>
  <c r="C14" i="7" s="1"/>
  <c r="D12" i="7"/>
  <c r="E6" i="7"/>
  <c r="F3" i="6"/>
  <c r="E9" i="6"/>
  <c r="F10" i="7" l="1"/>
  <c r="G7" i="6"/>
  <c r="G10" i="7" s="1"/>
  <c r="D31" i="7" s="1"/>
  <c r="C31" i="7" s="1"/>
  <c r="F6" i="7"/>
  <c r="F12" i="7" s="1"/>
  <c r="G3" i="6"/>
  <c r="F9" i="6"/>
  <c r="E16" i="6"/>
  <c r="E10" i="6"/>
  <c r="E3" i="7"/>
  <c r="E13" i="6"/>
  <c r="D13" i="7"/>
  <c r="D14" i="7" s="1"/>
  <c r="D17" i="7"/>
  <c r="D21" i="7" s="1"/>
  <c r="C4" i="8" s="1"/>
  <c r="C7" i="8" s="1"/>
  <c r="D19" i="7"/>
  <c r="D16" i="7"/>
  <c r="F8" i="7"/>
  <c r="G5" i="6"/>
  <c r="G8" i="7" s="1"/>
  <c r="D29" i="7" s="1"/>
  <c r="C29" i="7" s="1"/>
  <c r="E12" i="7"/>
  <c r="C21" i="7"/>
  <c r="B4" i="8" s="1"/>
  <c r="B7" i="8" s="1"/>
  <c r="F16" i="6" l="1"/>
  <c r="F10" i="6"/>
  <c r="F3" i="7"/>
  <c r="F13" i="6"/>
  <c r="G9" i="6"/>
  <c r="G6" i="7"/>
  <c r="F13" i="7"/>
  <c r="F14" i="7" s="1"/>
  <c r="E17" i="7"/>
  <c r="E21" i="7" s="1"/>
  <c r="D4" i="8" s="1"/>
  <c r="D7" i="8" s="1"/>
  <c r="E13" i="7"/>
  <c r="E14" i="7" s="1"/>
  <c r="E19" i="7"/>
  <c r="E16" i="7"/>
  <c r="D27" i="7" l="1"/>
  <c r="G12" i="7"/>
  <c r="G3" i="7"/>
  <c r="G13" i="6"/>
  <c r="G16" i="6"/>
  <c r="G10" i="6"/>
  <c r="F19" i="7"/>
  <c r="F16" i="7"/>
  <c r="F17" i="7" s="1"/>
  <c r="F21" i="7" s="1"/>
  <c r="E4" i="8" s="1"/>
  <c r="E7" i="8" s="1"/>
  <c r="G19" i="7" l="1"/>
  <c r="G16" i="7"/>
  <c r="G13" i="7"/>
  <c r="G14" i="7" s="1"/>
  <c r="C32" i="7"/>
  <c r="G17" i="7"/>
  <c r="G21" i="7" s="1"/>
  <c r="F4" i="8" s="1"/>
  <c r="C27" i="7"/>
  <c r="B28" i="7"/>
  <c r="B29" i="7"/>
  <c r="B27" i="7"/>
  <c r="B31" i="7"/>
  <c r="B30" i="7"/>
  <c r="G4" i="8" l="1"/>
  <c r="F7" i="8"/>
  <c r="B9" i="8" s="1"/>
  <c r="B10" i="8" l="1"/>
  <c r="B11" i="8" s="1"/>
  <c r="B28" i="8" s="1"/>
  <c r="C5" i="10"/>
  <c r="C9" i="10"/>
  <c r="E6" i="10"/>
  <c r="D5" i="10"/>
  <c r="F5" i="10"/>
  <c r="F9" i="10"/>
  <c r="C8" i="10"/>
  <c r="E7" i="10"/>
  <c r="D6" i="10"/>
  <c r="C7" i="10"/>
  <c r="E5" i="10"/>
  <c r="E9" i="10"/>
  <c r="D8" i="10"/>
  <c r="B9" i="10"/>
  <c r="B8" i="10"/>
  <c r="E8" i="10"/>
  <c r="F8" i="10"/>
  <c r="D9" i="10"/>
  <c r="F7" i="10"/>
  <c r="F6" i="10"/>
  <c r="B5" i="10"/>
  <c r="B6" i="10"/>
  <c r="B7" i="10"/>
  <c r="D7" i="10"/>
  <c r="C6" i="10"/>
  <c r="B13" i="8"/>
  <c r="B27" i="8"/>
  <c r="D15" i="10" l="1"/>
  <c r="B15" i="10"/>
  <c r="D17" i="10"/>
  <c r="D14" i="10"/>
  <c r="B14" i="10"/>
  <c r="B17" i="10"/>
  <c r="D16" i="10"/>
  <c r="E16" i="10" s="1"/>
  <c r="B16" i="10"/>
  <c r="E6" i="11"/>
  <c r="B16" i="8"/>
  <c r="B18" i="8" s="1"/>
  <c r="E14" i="10" l="1"/>
  <c r="B35" i="13"/>
  <c r="B20" i="8"/>
  <c r="B6" i="13" s="1"/>
  <c r="C15" i="10"/>
  <c r="B33" i="13"/>
  <c r="C48" i="11"/>
  <c r="B4" i="13"/>
  <c r="A14" i="11"/>
  <c r="C17" i="10"/>
  <c r="C14" i="10"/>
  <c r="C16" i="10"/>
  <c r="I6" i="11"/>
  <c r="E17" i="10"/>
  <c r="E15" i="10"/>
</calcChain>
</file>

<file path=xl/sharedStrings.xml><?xml version="1.0" encoding="utf-8"?>
<sst xmlns="http://schemas.openxmlformats.org/spreadsheetml/2006/main" count="426" uniqueCount="345">
  <si>
    <t>VEON LTD. — INSTITUTIONAL VALUATION WORKBOOK</t>
  </si>
  <si>
    <t>VEON Ltd. (NASDAQ: VEON)</t>
  </si>
  <si>
    <t>Frontier-Market Digital Operator — Telecommunications Sector</t>
  </si>
  <si>
    <t>Full-Year DCF, Trading Comparables &amp; Sensitivity Model</t>
  </si>
  <si>
    <t>Prepared By</t>
  </si>
  <si>
    <t>S M Zawadul Huq</t>
  </si>
  <si>
    <t>Specialization</t>
  </si>
  <si>
    <t>Corporate Finance, Strategy &amp; Investment Research</t>
  </si>
  <si>
    <t>Report Date</t>
  </si>
  <si>
    <t>04-Aug-2026</t>
  </si>
  <si>
    <t>Version</t>
  </si>
  <si>
    <t>1.0</t>
  </si>
  <si>
    <t>Currency Basis</t>
  </si>
  <si>
    <t>USD, millions unless per-share</t>
  </si>
  <si>
    <t>Fiscal Basis</t>
  </si>
  <si>
    <t>Continuing Operations (ex-Russia), restated FY2021 comparability</t>
  </si>
  <si>
    <t>NAVIGATION</t>
  </si>
  <si>
    <t>-&gt; Instructions</t>
  </si>
  <si>
    <t>-&gt; Raw Financial Data</t>
  </si>
  <si>
    <t>-&gt; Historical Financial Statements</t>
  </si>
  <si>
    <t>-&gt; Assumptions</t>
  </si>
  <si>
    <t>-&gt; Revenue Forecast</t>
  </si>
  <si>
    <t>-&gt; Operating Forecast</t>
  </si>
  <si>
    <t>-&gt; DCF Valuation</t>
  </si>
  <si>
    <t>-&gt; Trading Comparables</t>
  </si>
  <si>
    <t>-&gt; Sensitivity Analysis</t>
  </si>
  <si>
    <t>-&gt; Executive Dashboard</t>
  </si>
  <si>
    <t>-&gt; Banglalink Strategic Insights</t>
  </si>
  <si>
    <t>-&gt; Investment Summary</t>
  </si>
  <si>
    <t>This workbook is prepared for independent research and educational purposes based on publicly available information. It does not constitute investment advice, a recommendation, or a solicitation to buy or sell any security. Certain FY2022/FY2023 net income figures remain subject to verification against VEON's primary SEC filings (see Historical Financial Statements).</t>
  </si>
  <si>
    <t>INSTRUCTIONS &amp; MODEL GUIDE</t>
  </si>
  <si>
    <t>COLOUR LEGEND</t>
  </si>
  <si>
    <t>Blue font</t>
  </si>
  <si>
    <t>Hardcoded input — analyst entry point</t>
  </si>
  <si>
    <t>Black font</t>
  </si>
  <si>
    <t>Formula — calculated within the same sheet</t>
  </si>
  <si>
    <t>Green font</t>
  </si>
  <si>
    <t>Link — value pulled from another worksheet</t>
  </si>
  <si>
    <t>Red font</t>
  </si>
  <si>
    <t>External link or unresolved data-quality flag</t>
  </si>
  <si>
    <t>Yellow fill</t>
  </si>
  <si>
    <t>Key assumption — requires periodic review</t>
  </si>
  <si>
    <t>WORKSHEET GUIDE</t>
  </si>
  <si>
    <t>Cover</t>
  </si>
  <si>
    <t>Title page and navigation index.</t>
  </si>
  <si>
    <t>Raw Financial Data</t>
  </si>
  <si>
    <t>Unadjusted source data staging area, cited to filings.</t>
  </si>
  <si>
    <t>Historical Financial Statements</t>
  </si>
  <si>
    <t>Standardized 5-year IS / BS / CF, linked from Raw Data.</t>
  </si>
  <si>
    <t>Assumptions</t>
  </si>
  <si>
    <t>Central driver sheet for all forecast and WACC inputs.</t>
  </si>
  <si>
    <t>Revenue Forecast</t>
  </si>
  <si>
    <t>Segment-level revenue build, FY2026E-FY2030E.</t>
  </si>
  <si>
    <t>Operating Forecast</t>
  </si>
  <si>
    <t>EBITDA, D&amp;A, CapEx and unlevered FCF build.</t>
  </si>
  <si>
    <t>DCF Valuation</t>
  </si>
  <si>
    <t>Discounted cash flow to enterprise and equity value.</t>
  </si>
  <si>
    <t>Trading Comparables</t>
  </si>
  <si>
    <t>Peer multiple benchmarking (EV/EBITDA, EV/Sales, P/E).</t>
  </si>
  <si>
    <t>Sensitivity Analysis</t>
  </si>
  <si>
    <t>Two-way sensitivity tables and tornado ranking.</t>
  </si>
  <si>
    <t>Executive Dashboard</t>
  </si>
  <si>
    <t>One-page KPI and chart summary for IC presentation.</t>
  </si>
  <si>
    <t>Banglalink Strategic Insights</t>
  </si>
  <si>
    <t>Bangladesh operating company deep-dive.</t>
  </si>
  <si>
    <t>Investment Summary</t>
  </si>
  <si>
    <t>Rating, target price and thesis conclusion.</t>
  </si>
  <si>
    <t>DATA SOURCES</t>
  </si>
  <si>
    <t>- VEON Ltd. Form 20-F Annual Reports (SEC filings, FY2021-FY2025)</t>
  </si>
  <si>
    <t>- VEON Ltd. quarterly and full-year earnings releases and investor presentations</t>
  </si>
  <si>
    <t>- VEON Integrated Annual Reports (2023, 2024, 2025)</t>
  </si>
  <si>
    <t>- VEON Dutch Statutory Annual Report (2023)</t>
  </si>
  <si>
    <t>- Nasdaq, Yahoo Finance (market data)</t>
  </si>
  <si>
    <t>KNOWN LIMITATIONS</t>
  </si>
  <si>
    <t>FY2022 net income is subject to conflicting public data (loss vs. profit reported across sources) and FY2023 net income magnitude requires verification against the FY2023 Form 20-F. See Historical Financial Statements for detail.</t>
  </si>
  <si>
    <t>RAW FINANCIAL DATA — UNADJUSTED SOURCE STAGING</t>
  </si>
  <si>
    <t>Line Item</t>
  </si>
  <si>
    <t>FY2021 (As-Reported)</t>
  </si>
  <si>
    <t>FY2021 (Restated)</t>
  </si>
  <si>
    <t>FY2022</t>
  </si>
  <si>
    <t>FY2023</t>
  </si>
  <si>
    <t>FY2024</t>
  </si>
  <si>
    <t>FY2025</t>
  </si>
  <si>
    <t>Source Reference</t>
  </si>
  <si>
    <t>Source Date</t>
  </si>
  <si>
    <t>Revenue — Pakistan</t>
  </si>
  <si>
    <t>20-F FY2025, Segment Note</t>
  </si>
  <si>
    <t>2026</t>
  </si>
  <si>
    <t>Revenue — Ukraine</t>
  </si>
  <si>
    <t>Revenue — Kazakhstan</t>
  </si>
  <si>
    <t>Revenue — Bangladesh</t>
  </si>
  <si>
    <t>Revenue — Uzbekistan</t>
  </si>
  <si>
    <t>Revenue — Other / HQ</t>
  </si>
  <si>
    <t>Total Revenue (Check)</t>
  </si>
  <si>
    <t>EBITDA — Group (Continuing Ops)</t>
  </si>
  <si>
    <t>Operating Income</t>
  </si>
  <si>
    <t>Net Income — Continuing Operations</t>
  </si>
  <si>
    <t>SEE NOTE</t>
  </si>
  <si>
    <t>CapEx</t>
  </si>
  <si>
    <t>Free Cash Flow</t>
  </si>
  <si>
    <t>Net Debt</t>
  </si>
  <si>
    <t>Shares Outstanding (million)</t>
  </si>
  <si>
    <t>ERROR CHECK: Segment Sum = Total Reported</t>
  </si>
  <si>
    <t>HISTORICAL FINANCIAL STATEMENTS — FY2021-FY2025 (CONTINUING OPERATIONS)</t>
  </si>
  <si>
    <t>FY2021</t>
  </si>
  <si>
    <t>5-Yr CAGR</t>
  </si>
  <si>
    <t>INCOME STATEMENT</t>
  </si>
  <si>
    <t>Revenue</t>
  </si>
  <si>
    <t xml:space="preserve">  Revenue Growth %</t>
  </si>
  <si>
    <t>EBITDA</t>
  </si>
  <si>
    <t xml:space="preserve">  EBITDA Margin %</t>
  </si>
  <si>
    <t>Operating Income (EBIT)</t>
  </si>
  <si>
    <t xml:space="preserve">  Operating Margin %</t>
  </si>
  <si>
    <t>Net Income (Total)</t>
  </si>
  <si>
    <t>SEE NOTE 1</t>
  </si>
  <si>
    <t>SEE NOTE 2</t>
  </si>
  <si>
    <t>CASH FLOW</t>
  </si>
  <si>
    <t xml:space="preserve">  FCF Margin %</t>
  </si>
  <si>
    <t>BALANCE SHEET (SUMMARY)</t>
  </si>
  <si>
    <t xml:space="preserve">  Net Debt / EBITDA (x)</t>
  </si>
  <si>
    <t>NOTE 1 (FY2022 Net Income):</t>
  </si>
  <si>
    <t>Unresolved — conflicting public sources (loss of ~$818M vs. profit of ~$802M). Verify vs. FY2022 Form 20-F.</t>
  </si>
  <si>
    <t>NOTE 2 (FY2023 Net Income):</t>
  </si>
  <si>
    <t>Large loss confirmed (~$3.7B Russia divestiture loss in discontinued ops); precise consolidated figure requires FY2023 Form 20-F verification.</t>
  </si>
  <si>
    <t>ERROR CHECK: Margin within 0%-60% bound</t>
  </si>
  <si>
    <t>ASSUMPTIONS — FORECAST &amp; DISCOUNT RATE DRIVERS</t>
  </si>
  <si>
    <t>ANALYST INPUT REQUIRED — cells below are intentionally blank pending management guidance / analyst view. Do not populate with estimated figures without explicit sourcing.</t>
  </si>
  <si>
    <t>Driver</t>
  </si>
  <si>
    <t>FY2026E</t>
  </si>
  <si>
    <t>FY2027E</t>
  </si>
  <si>
    <t>FY2028E</t>
  </si>
  <si>
    <t>FY2029E</t>
  </si>
  <si>
    <t>FY2030E</t>
  </si>
  <si>
    <t>REVENUE GROWTH % (BY SEGMENT)</t>
  </si>
  <si>
    <t xml:space="preserve">  Pakistan</t>
  </si>
  <si>
    <t xml:space="preserve">  Ukraine</t>
  </si>
  <si>
    <t xml:space="preserve">  Kazakhstan</t>
  </si>
  <si>
    <t xml:space="preserve">  Bangladesh</t>
  </si>
  <si>
    <t xml:space="preserve">  Uzbekistan</t>
  </si>
  <si>
    <t xml:space="preserve">  Other / HQ</t>
  </si>
  <si>
    <t>EBITDA MARGIN TARGET % (BY SEGMENT)</t>
  </si>
  <si>
    <t>OTHER OPERATING ASSUMPTIONS</t>
  </si>
  <si>
    <t xml:space="preserve">  Tax Rate %</t>
  </si>
  <si>
    <t xml:space="preserve">  D&amp;A % of Revenue</t>
  </si>
  <si>
    <t xml:space="preserve">  CapEx % of Revenue</t>
  </si>
  <si>
    <t>WACC COMPONENTS</t>
  </si>
  <si>
    <t xml:space="preserve">  Risk-Free Rate</t>
  </si>
  <si>
    <t xml:space="preserve">  Equity Risk Premium</t>
  </si>
  <si>
    <t xml:space="preserve">  Blended Country Risk Premium</t>
  </si>
  <si>
    <t xml:space="preserve">  Levered Beta</t>
  </si>
  <si>
    <t xml:space="preserve">  Cost of Equity</t>
  </si>
  <si>
    <t xml:space="preserve">  Pre-Tax Cost of Debt</t>
  </si>
  <si>
    <t xml:space="preserve">  Tax Rate (for shield)</t>
  </si>
  <si>
    <t xml:space="preserve">  After-Tax Cost of Debt</t>
  </si>
  <si>
    <t xml:space="preserve">  Target Debt / (Debt+Equity)</t>
  </si>
  <si>
    <t xml:space="preserve">  Target Equity / (Debt+Equity)</t>
  </si>
  <si>
    <t xml:space="preserve">  WACC</t>
  </si>
  <si>
    <t>Terminal Growth Rate</t>
  </si>
  <si>
    <t>ERROR CHECK: WACC &gt; Terminal Growth</t>
  </si>
  <si>
    <t>FX ASSUMPTIONS (LOCAL CURRENCY PER USD)</t>
  </si>
  <si>
    <t xml:space="preserve">  PKR/USD Forward Rate</t>
  </si>
  <si>
    <t xml:space="preserve">  UAH/USD Forward Rate</t>
  </si>
  <si>
    <t xml:space="preserve">  KZT/USD Forward Rate</t>
  </si>
  <si>
    <t xml:space="preserve">  BDT/USD Forward Rate</t>
  </si>
  <si>
    <t xml:space="preserve">  UZS/USD Forward Rate</t>
  </si>
  <si>
    <t>WACC BUILD-UP (WATERFALL DATA)</t>
  </si>
  <si>
    <t>Base (invisible)</t>
  </si>
  <si>
    <t>Value</t>
  </si>
  <si>
    <t>Cost of Equity (wtd)</t>
  </si>
  <si>
    <t>Cost of Debt (wtd, after-tax)</t>
  </si>
  <si>
    <t>WACC (Total)</t>
  </si>
  <si>
    <t>REVENUE FORECAST — SEGMENT BUILD (FY2025A-FY2030E)</t>
  </si>
  <si>
    <t>Segment</t>
  </si>
  <si>
    <t>FY2025A</t>
  </si>
  <si>
    <t>Pakistan</t>
  </si>
  <si>
    <t>Ukraine</t>
  </si>
  <si>
    <t>Kazakhstan</t>
  </si>
  <si>
    <t>Bangladesh</t>
  </si>
  <si>
    <t>Uzbekistan</t>
  </si>
  <si>
    <t>Other / HQ</t>
  </si>
  <si>
    <t>Total Revenue</t>
  </si>
  <si>
    <t>YoY Growth %</t>
  </si>
  <si>
    <t>ERROR CHECK: Segment Sum = Total</t>
  </si>
  <si>
    <t>Digital Revenue (memo)</t>
  </si>
  <si>
    <t>Digital % of Total Revenue</t>
  </si>
  <si>
    <t>OPERATING FORECAST — EBITDA, D&amp;A, CAPEX &amp; UNLEVERED FCF</t>
  </si>
  <si>
    <t>Revenue (link)</t>
  </si>
  <si>
    <t>EBITDA BY SEGMENT</t>
  </si>
  <si>
    <t>Group EBITDA</t>
  </si>
  <si>
    <t>EBITDA Margin %</t>
  </si>
  <si>
    <t>ERROR CHECK: Margin &lt;= 60%</t>
  </si>
  <si>
    <t>D&amp;A</t>
  </si>
  <si>
    <t>EBIT</t>
  </si>
  <si>
    <t>Working Capital Change</t>
  </si>
  <si>
    <t>Unlevered Free Cash Flow</t>
  </si>
  <si>
    <t>EBITDA BRIDGE (WATERFALL DATA)</t>
  </si>
  <si>
    <t>Stage</t>
  </si>
  <si>
    <t>Base</t>
  </si>
  <si>
    <t>Delta</t>
  </si>
  <si>
    <t>FY25A EBITDA</t>
  </si>
  <si>
    <t>Δ Pakistan (FY25A-&gt;FY30E)</t>
  </si>
  <si>
    <t>Δ Ukraine (FY25A-&gt;FY30E)</t>
  </si>
  <si>
    <t>Δ Kazakhstan (FY25A-&gt;FY30E)</t>
  </si>
  <si>
    <t>Δ Bangladesh (FY25A-&gt;FY30E)</t>
  </si>
  <si>
    <t>Δ Uzbekistan (FY25A-&gt;FY30E)</t>
  </si>
  <si>
    <t>FY30E EBITDA</t>
  </si>
  <si>
    <t>DCF VALUATION — UNLEVERED FREE CASH FLOW TO FIRM</t>
  </si>
  <si>
    <t>Terminal</t>
  </si>
  <si>
    <t>Discount Period (n)</t>
  </si>
  <si>
    <t>Discount Factor</t>
  </si>
  <si>
    <t>PV of Free Cash Flow</t>
  </si>
  <si>
    <t>Sum of PV — Explicit Period</t>
  </si>
  <si>
    <t>Terminal Value (Gordon Growth)</t>
  </si>
  <si>
    <t>PV of Terminal Value</t>
  </si>
  <si>
    <t>Enterprise Value</t>
  </si>
  <si>
    <t>Less: Net Debt</t>
  </si>
  <si>
    <t>Less: Minority Interest</t>
  </si>
  <si>
    <t>Equity Value</t>
  </si>
  <si>
    <t>Diluted Shares Outstanding (mn)</t>
  </si>
  <si>
    <t>Implied Share Price</t>
  </si>
  <si>
    <t>Current Share Price (input)</t>
  </si>
  <si>
    <t>Implied Upside / (Downside)</t>
  </si>
  <si>
    <t>EV COMPOSITION (CHART DATA)</t>
  </si>
  <si>
    <t>Component</t>
  </si>
  <si>
    <t>USD mn</t>
  </si>
  <si>
    <t>PV of Explicit FCF</t>
  </si>
  <si>
    <t>TRADING COMPARABLES — PEER BENCHMARKING</t>
  </si>
  <si>
    <t>ANALYST INPUT REQUIRED — peer market data must be sourced live from Nasdaq / Yahoo Finance / Bloomberg prior to use. No figures estimated.</t>
  </si>
  <si>
    <t>Company</t>
  </si>
  <si>
    <t>Ticker</t>
  </si>
  <si>
    <t>Market Cap</t>
  </si>
  <si>
    <t>EV</t>
  </si>
  <si>
    <t>EV/EBITDA</t>
  </si>
  <si>
    <t>EV/Sales</t>
  </si>
  <si>
    <t>P/E</t>
  </si>
  <si>
    <t>Turkcell</t>
  </si>
  <si>
    <t>TKC</t>
  </si>
  <si>
    <t>MTN Group</t>
  </si>
  <si>
    <t>MTN.JO</t>
  </si>
  <si>
    <t>Millicom</t>
  </si>
  <si>
    <t>TIGO</t>
  </si>
  <si>
    <t>Ooredoo</t>
  </si>
  <si>
    <t>ORDS.QA</t>
  </si>
  <si>
    <t>Telenor</t>
  </si>
  <si>
    <t>TEL.OL</t>
  </si>
  <si>
    <t>Axiata</t>
  </si>
  <si>
    <t>AXIATA.KL</t>
  </si>
  <si>
    <t>e&amp;</t>
  </si>
  <si>
    <t>EAND.AD</t>
  </si>
  <si>
    <t>Zain Group</t>
  </si>
  <si>
    <t>ZAIN.KW</t>
  </si>
  <si>
    <t>VEON Ltd.</t>
  </si>
  <si>
    <t>VEON</t>
  </si>
  <si>
    <t>Peer Median</t>
  </si>
  <si>
    <t>Peer Average</t>
  </si>
  <si>
    <t>Implied VEON EV (EV/EBITDA basis)</t>
  </si>
  <si>
    <t>ERROR CHECK: Outlier Flag (&gt;2x Median)</t>
  </si>
  <si>
    <t>SENSITIVITY ANALYSIS — IMPLIED SHARE PRICE</t>
  </si>
  <si>
    <t>Implied Share Price ($) — WACC (rows) x Terminal Growth (columns)</t>
  </si>
  <si>
    <t>WACC \ Term. g</t>
  </si>
  <si>
    <t>TORNADO SENSITIVITY — IMPLIED PRICE RANGE BY DRIVER</t>
  </si>
  <si>
    <t>Low Case ($)</t>
  </si>
  <si>
    <t>Base Case ($)</t>
  </si>
  <si>
    <t>High Case ($)</t>
  </si>
  <si>
    <t>Range ($)</t>
  </si>
  <si>
    <t>WACC (+/-2.0%)</t>
  </si>
  <si>
    <t>Terminal Growth (+/-1.0%)</t>
  </si>
  <si>
    <t>Digital Margin Assumption</t>
  </si>
  <si>
    <t>FX (Local Currency Basket)</t>
  </si>
  <si>
    <t>VEON Ltd. (NASDAQ: VEON) — Executive Dashboard</t>
  </si>
  <si>
    <t>OVERWEIGHT (SELECTIVE)</t>
  </si>
  <si>
    <t>●  MARKET CAP</t>
  </si>
  <si>
    <t>●  ENTERPRISE VALUE</t>
  </si>
  <si>
    <t>●  TARGET PRICE / UPSIDE</t>
  </si>
  <si>
    <t>●  NET DEBT</t>
  </si>
  <si>
    <t>●  NET LEVERAGE</t>
  </si>
  <si>
    <t>●  REVENUE CAGR (FY21-25)</t>
  </si>
  <si>
    <t>●  EBITDA MARGIN (FY25)</t>
  </si>
  <si>
    <t>●  FREE CASH FLOW (FY25)</t>
  </si>
  <si>
    <t>●  ROIC (TTM)</t>
  </si>
  <si>
    <t>●  ROE (TTM)</t>
  </si>
  <si>
    <t>Share Price Input Row (populate from Nasdaq)</t>
  </si>
  <si>
    <t>Method</t>
  </si>
  <si>
    <t>Low Base</t>
  </si>
  <si>
    <t>Range</t>
  </si>
  <si>
    <t>DCF</t>
  </si>
  <si>
    <t>EV/EBITDA Comps</t>
  </si>
  <si>
    <t>EV/Sales Comps</t>
  </si>
  <si>
    <t>52-Wk Trading Range</t>
  </si>
  <si>
    <t>BANGLALINK STRATEGIC INSIGHTS — BANGLADESH OPERATING COMPANY</t>
  </si>
  <si>
    <t>SEGMENT FINANCIAL SNAPSHOT</t>
  </si>
  <si>
    <t>Metric</t>
  </si>
  <si>
    <t>Bangladesh Revenue (USD mn)</t>
  </si>
  <si>
    <t>STRATEGIC CAPITAL COMMITMENT</t>
  </si>
  <si>
    <t>Anchor Investment (June 2026, USD mn)</t>
  </si>
  <si>
    <t>Targeted Follow-On Capital (USD mn)</t>
  </si>
  <si>
    <t>Capital Multiplier (x)</t>
  </si>
  <si>
    <t>DIGITAL ENGAGEMENT — TOFFEE PLATFORM</t>
  </si>
  <si>
    <t>Event</t>
  </si>
  <si>
    <t>Viewers / MAU (mn)</t>
  </si>
  <si>
    <t>World Cup 2022 Final (single match)</t>
  </si>
  <si>
    <t>World Cup 2026 (39-day tournament, MAU)</t>
  </si>
  <si>
    <t>Live Watch Minutes, WC2026 (billion)</t>
  </si>
  <si>
    <t>Peak Concurrent Viewers, WC2026 (mn)</t>
  </si>
  <si>
    <t>FINTECH &amp; GROUP DIGITAL METRICS</t>
  </si>
  <si>
    <t>Group Financial Services MAU (mn)</t>
  </si>
  <si>
    <t>Digital Banking License Status</t>
  </si>
  <si>
    <t>Applied — Pending</t>
  </si>
  <si>
    <t>GROWTH DRIVERS (QUALITATIVE)</t>
  </si>
  <si>
    <t>- Digital banking license resolution</t>
  </si>
  <si>
    <t>- Toffee mega-event MAU and advertising monetization</t>
  </si>
  <si>
    <t>- RYZE AI-personalization and youth ARPU deepening</t>
  </si>
  <si>
    <t>- Direct-to-cell satellite connectivity (rural reach)</t>
  </si>
  <si>
    <t>- Diversification into education, healthcare, agriculture, IoT</t>
  </si>
  <si>
    <t>INVESTMENT SUMMARY</t>
  </si>
  <si>
    <t>Rating</t>
  </si>
  <si>
    <t>Target Price</t>
  </si>
  <si>
    <t>Current Price (input)</t>
  </si>
  <si>
    <t>BULL CASE</t>
  </si>
  <si>
    <t>-</t>
  </si>
  <si>
    <t>Digital revenue reached 20.1% of Group revenue in 4Q25 (+84.1% YoY) — mix shift not yet fully priced.</t>
  </si>
  <si>
    <t>Kyivstar's standalone Nasdaq listing enables direct sum-of-the-parts value verification.</t>
  </si>
  <si>
    <t>Net debt reduced from $8,394M (FY2021) to $3,413M (FY2025) — substantial balance sheet repair.</t>
  </si>
  <si>
    <t>Capital return commitments ($100M/yr minimum, $139M cumulative buybacks since Aug-2024).</t>
  </si>
  <si>
    <t>Banglalink anchor investment ($250M targeting $1B follow-on) signals conviction in optionality.</t>
  </si>
  <si>
    <t>BEAR CASE</t>
  </si>
  <si>
    <t>Ukraine exposure represents structural, largely unhedgeable nationalization risk.</t>
  </si>
  <si>
    <t>FCF conversion has not recovered to FY2021-22 levels (margin ~50% -&gt; ~13-14%).</t>
  </si>
  <si>
    <t>LetterOne's concentrated 45.5% ownership carries governance/regulatory overhang risk.</t>
  </si>
  <si>
    <t>Bangladesh and Pakistan carry recurring political-instability and network-disruption risk.</t>
  </si>
  <si>
    <t>FY2022/FY2023 net income figures show unresolved discrepancies pending 20-F verification.</t>
  </si>
  <si>
    <t>KEY CATALYSTS</t>
  </si>
  <si>
    <t>Continued digital-revenue mix expansion beyond 20% quarterly threshold</t>
  </si>
  <si>
    <t>Kyivstar equity value discovery relative to consolidated EV</t>
  </si>
  <si>
    <t>Execution against $100M minimum annual shareholder return commitment</t>
  </si>
  <si>
    <t>Regulatory clarity on Ukrainian nationalization-risk legislation</t>
  </si>
  <si>
    <t>Resolution of Banglalink's digital banking license application</t>
  </si>
  <si>
    <t>Confirmation of FY2025 Form 20-F figures and FY22/23 net income reconciliation</t>
  </si>
  <si>
    <t>TARGET PRICE DERIVATION (CHART DATA)</t>
  </si>
  <si>
    <t>Value ($)</t>
  </si>
  <si>
    <t>DCF Value</t>
  </si>
  <si>
    <t>Trading Comps Implied</t>
  </si>
  <si>
    <t>Blended Target</t>
  </si>
  <si>
    <t>DISCLAIMER</t>
  </si>
  <si>
    <t>This workbook is prepared for independent research and educational purposes based on publicly available information. It does not represent the views, research, or output of any employer, institution, or investment bank. It does not constitute investment advice, a recommendation, or a solicitation to buy or sell any security. Readers should consult a licensed financial advisor before making investment decisions. Certain FY2022/FY2023 net income figures require verification against VEON's primary SEC filings.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</si>
</sst>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x"/>
    <numFmt numFmtId="166" formatCode="#,##0.0"/>
    <numFmt numFmtId="167" formatCode="0.000"/>
    <numFmt numFmtId="168" formatCode="\$0.00"/>
    <numFmt numFmtId="169" formatCode="0.0\x"/>
    <numFmt numFmtId="170" formatCode="\$#,##0\M"/>
    <numFmt numFmtId="171" formatCode="0.0"/>
  </numFmts>
  <fonts count="40" x14ac:knownFonts="1">
    <font>
      <sz val="11"/>
      <color theme="1"/>
      <name val="Calibri"/>
      <family val="2"/>
      <charset val="1"/>
    </font>
    <font>
      <b/>
      <sz val="18"/>
      <color rgb="FFFFFFFF"/>
      <name val="Calibri"/>
      <charset val="1"/>
    </font>
    <font>
      <b/>
      <sz val="26"/>
      <color rgb="FF1B2A4A"/>
      <name val="Calibri"/>
      <charset val="1"/>
    </font>
    <font>
      <b/>
      <sz val="13"/>
      <color rgb="FF6E6E6E"/>
      <name val="Calibri"/>
      <charset val="1"/>
    </font>
    <font>
      <b/>
      <sz val="14"/>
      <color rgb="FFB08D57"/>
      <name val="Calibri"/>
      <charset val="1"/>
    </font>
    <font>
      <b/>
      <sz val="11"/>
      <color rgb="FF1B2A4A"/>
      <name val="Calibri"/>
      <charset val="1"/>
    </font>
    <font>
      <sz val="11"/>
      <color rgb="FF222222"/>
      <name val="Calibri"/>
      <charset val="1"/>
    </font>
    <font>
      <b/>
      <sz val="12"/>
      <color rgb="FFB08D57"/>
      <name val="Calibri"/>
      <charset val="1"/>
    </font>
    <font>
      <u/>
      <sz val="10"/>
      <color rgb="FF0563C1"/>
      <name val="Calibri"/>
      <charset val="1"/>
    </font>
    <font>
      <i/>
      <sz val="8"/>
      <color rgb="FF6E6E6E"/>
      <name val="Calibri"/>
      <charset val="1"/>
    </font>
    <font>
      <b/>
      <sz val="14"/>
      <color rgb="FFFFFFFF"/>
      <name val="Calibri"/>
      <charset val="1"/>
    </font>
    <font>
      <b/>
      <sz val="11"/>
      <color rgb="FFB08D57"/>
      <name val="Calibri"/>
      <charset val="1"/>
    </font>
    <font>
      <b/>
      <sz val="10"/>
      <color rgb="FF0000FF"/>
      <name val="Calibri"/>
      <charset val="1"/>
    </font>
    <font>
      <sz val="10"/>
      <name val="Calibri"/>
      <charset val="1"/>
    </font>
    <font>
      <b/>
      <sz val="10"/>
      <color rgb="FF222222"/>
      <name val="Calibri"/>
      <charset val="1"/>
    </font>
    <font>
      <b/>
      <sz val="10"/>
      <color rgb="FF008000"/>
      <name val="Calibri"/>
      <charset val="1"/>
    </font>
    <font>
      <b/>
      <sz val="10"/>
      <color rgb="FFA94442"/>
      <name val="Calibri"/>
      <charset val="1"/>
    </font>
    <font>
      <b/>
      <sz val="10"/>
      <color rgb="FF1B2A4A"/>
      <name val="Calibri"/>
      <charset val="1"/>
    </font>
    <font>
      <b/>
      <sz val="11"/>
      <color rgb="FFA94442"/>
      <name val="Calibri"/>
      <charset val="1"/>
    </font>
    <font>
      <i/>
      <sz val="10"/>
      <color rgb="FFA94442"/>
      <name val="Calibri"/>
      <charset val="1"/>
    </font>
    <font>
      <b/>
      <sz val="10"/>
      <color rgb="FFFFFFFF"/>
      <name val="Calibri"/>
      <charset val="1"/>
    </font>
    <font>
      <sz val="10"/>
      <color rgb="FF222222"/>
      <name val="Calibri"/>
      <charset val="1"/>
    </font>
    <font>
      <sz val="10"/>
      <color rgb="FF0000FF"/>
      <name val="Calibri"/>
      <charset val="1"/>
    </font>
    <font>
      <i/>
      <sz val="9"/>
      <color rgb="FFA94442"/>
      <name val="Calibri"/>
      <charset val="1"/>
    </font>
    <font>
      <b/>
      <sz val="10"/>
      <color rgb="FFB08D57"/>
      <name val="Calibri"/>
      <charset val="1"/>
    </font>
    <font>
      <sz val="10"/>
      <color rgb="FF008000"/>
      <name val="Calibri"/>
      <charset val="1"/>
    </font>
    <font>
      <b/>
      <sz val="9"/>
      <color rgb="FFA94442"/>
      <name val="Calibri"/>
      <charset val="1"/>
    </font>
    <font>
      <b/>
      <sz val="10"/>
      <name val="Calibri"/>
      <charset val="1"/>
    </font>
    <font>
      <b/>
      <sz val="9"/>
      <color rgb="FF6E6E6E"/>
      <name val="Calibri"/>
      <charset val="1"/>
    </font>
    <font>
      <sz val="9"/>
      <color rgb="FFA94442"/>
      <name val="Calibri"/>
      <charset val="1"/>
    </font>
    <font>
      <sz val="10"/>
      <color rgb="FF6E6E6E"/>
      <name val="Calibri"/>
      <charset val="1"/>
    </font>
    <font>
      <b/>
      <sz val="16"/>
      <color rgb="FFFFFFFF"/>
      <name val="Calibri"/>
      <charset val="1"/>
    </font>
    <font>
      <sz val="10"/>
      <color rgb="FFFFFFFF"/>
      <name val="Calibri"/>
      <charset val="1"/>
    </font>
    <font>
      <b/>
      <sz val="12"/>
      <color rgb="FFFFFFFF"/>
      <name val="Calibri"/>
      <charset val="1"/>
    </font>
    <font>
      <b/>
      <sz val="8.5"/>
      <color rgb="FF6E6E6E"/>
      <name val="Calibri"/>
      <charset val="1"/>
    </font>
    <font>
      <b/>
      <sz val="20"/>
      <color rgb="FF1B2A4A"/>
      <name val="Calibri"/>
      <charset val="1"/>
    </font>
    <font>
      <i/>
      <sz val="10"/>
      <color rgb="FFB08D2A"/>
      <name val="Calibri"/>
      <charset val="1"/>
    </font>
    <font>
      <b/>
      <sz val="11"/>
      <color rgb="FFFFFFFF"/>
      <name val="Calibri"/>
      <charset val="1"/>
    </font>
    <font>
      <b/>
      <sz val="10"/>
      <color rgb="FF2E7D32"/>
      <name val="Calibri"/>
      <charset val="1"/>
    </font>
    <font>
      <sz val="9"/>
      <name val="Calibri"/>
      <family val="2"/>
    </font>
  </fonts>
  <fills count="12">
    <fill>
      <patternFill patternType="none"/>
    </fill>
    <fill>
      <patternFill patternType="gray125"/>
    </fill>
    <fill>
      <patternFill patternType="solid">
        <fgColor rgb="FF1B2A4A"/>
        <bgColor rgb="FF222222"/>
      </patternFill>
    </fill>
    <fill>
      <patternFill patternType="solid">
        <fgColor rgb="FFFFFFFF"/>
        <bgColor rgb="FFF7F7F5"/>
      </patternFill>
    </fill>
    <fill>
      <patternFill patternType="solid">
        <fgColor rgb="FFFFFF00"/>
        <bgColor rgb="FFFFFFCC"/>
      </patternFill>
    </fill>
    <fill>
      <patternFill patternType="solid">
        <fgColor rgb="FFFFF2CC"/>
        <bgColor rgb="FFFFF6E5"/>
      </patternFill>
    </fill>
    <fill>
      <patternFill patternType="solid">
        <fgColor rgb="FFFFFFCC"/>
        <bgColor rgb="FFFFF2CC"/>
      </patternFill>
    </fill>
    <fill>
      <patternFill patternType="solid">
        <fgColor rgb="FFEFEDE7"/>
        <bgColor rgb="FFF7F7F5"/>
      </patternFill>
    </fill>
    <fill>
      <patternFill patternType="solid">
        <fgColor rgb="FFFFF6E5"/>
        <bgColor rgb="FFF7F7F5"/>
      </patternFill>
    </fill>
    <fill>
      <patternFill patternType="solid">
        <fgColor rgb="FFB08D57"/>
        <bgColor rgb="FFB08D2A"/>
      </patternFill>
    </fill>
    <fill>
      <patternFill patternType="solid">
        <fgColor rgb="FFF7F7F5"/>
        <bgColor rgb="FFFFF6E5"/>
      </patternFill>
    </fill>
    <fill>
      <patternFill patternType="solid">
        <fgColor rgb="FF2E7D32"/>
        <bgColor rgb="FF008000"/>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ck">
        <color rgb="FF1B2A4A"/>
      </left>
      <right style="thick">
        <color rgb="FF1B2A4A"/>
      </right>
      <top style="thick">
        <color rgb="FF1B2A4A"/>
      </top>
      <bottom style="thick">
        <color rgb="FF1B2A4A"/>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3">
    <xf numFmtId="0" fontId="0" fillId="0" borderId="0" xfId="0"/>
    <xf numFmtId="0" fontId="24" fillId="0" borderId="0" xfId="0" applyFont="1" applyAlignment="1">
      <alignment horizontal="left" vertical="center"/>
    </xf>
    <xf numFmtId="0" fontId="23" fillId="0" borderId="0" xfId="0" applyFont="1"/>
    <xf numFmtId="0" fontId="23" fillId="0" borderId="0" xfId="0" applyFont="1" applyAlignment="1">
      <alignment wrapText="1"/>
    </xf>
    <xf numFmtId="0" fontId="19" fillId="0" borderId="0" xfId="0" applyFont="1" applyAlignment="1">
      <alignment wrapText="1"/>
    </xf>
    <xf numFmtId="0" fontId="13" fillId="0" borderId="0" xfId="0" applyFont="1"/>
    <xf numFmtId="0" fontId="10" fillId="2" borderId="0" xfId="0" applyFont="1" applyFill="1" applyAlignment="1">
      <alignment horizontal="left" vertical="center"/>
    </xf>
    <xf numFmtId="0" fontId="9" fillId="0" borderId="0" xfId="0" applyFont="1" applyAlignment="1">
      <alignment vertical="top" wrapText="1"/>
    </xf>
    <xf numFmtId="0" fontId="7" fillId="0" borderId="0" xfId="0" applyFont="1" applyAlignment="1">
      <alignment horizontal="left" vertical="center"/>
    </xf>
    <xf numFmtId="0" fontId="4" fillId="3" borderId="0" xfId="0" applyFon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0" fillId="2" borderId="0" xfId="0" applyFill="1"/>
    <xf numFmtId="0" fontId="5" fillId="0" borderId="0" xfId="0" applyFont="1"/>
    <xf numFmtId="0" fontId="6" fillId="0" borderId="0" xfId="0" applyFont="1"/>
    <xf numFmtId="0" fontId="8" fillId="0" borderId="0" xfId="0" applyFont="1"/>
    <xf numFmtId="0" fontId="11" fillId="0" borderId="0" xfId="0" applyFont="1" applyAlignment="1">
      <alignment horizontal="left" vertical="center"/>
    </xf>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4" fillId="4" borderId="0" xfId="0" applyFont="1" applyFill="1"/>
    <xf numFmtId="0" fontId="17" fillId="0" borderId="0" xfId="0" applyFont="1"/>
    <xf numFmtId="0" fontId="13" fillId="0" borderId="0" xfId="0" applyFont="1" applyAlignment="1">
      <alignment wrapText="1"/>
    </xf>
    <xf numFmtId="0" fontId="18" fillId="0" borderId="0" xfId="0" applyFont="1" applyAlignment="1">
      <alignment horizontal="left" vertical="center"/>
    </xf>
    <xf numFmtId="0" fontId="20" fillId="2" borderId="1" xfId="0" applyFont="1" applyFill="1" applyBorder="1" applyAlignment="1">
      <alignment horizontal="center" vertical="center" wrapText="1"/>
    </xf>
    <xf numFmtId="0" fontId="21" fillId="0" borderId="0" xfId="0" applyFont="1" applyAlignment="1">
      <alignment horizontal="left" vertical="center"/>
    </xf>
    <xf numFmtId="0" fontId="0" fillId="0" borderId="1" xfId="0" applyBorder="1"/>
    <xf numFmtId="3" fontId="22" fillId="0" borderId="1" xfId="0" applyNumberFormat="1" applyFont="1" applyBorder="1" applyAlignment="1">
      <alignment horizontal="right" vertical="center"/>
    </xf>
    <xf numFmtId="0" fontId="14" fillId="0" borderId="0" xfId="0" applyFont="1" applyAlignment="1">
      <alignment horizontal="left" vertical="center"/>
    </xf>
    <xf numFmtId="3" fontId="14" fillId="0" borderId="1" xfId="0" applyNumberFormat="1" applyFont="1" applyBorder="1" applyAlignment="1">
      <alignment horizontal="right" vertical="center"/>
    </xf>
    <xf numFmtId="0" fontId="23" fillId="5" borderId="0" xfId="0" applyFont="1" applyFill="1"/>
    <xf numFmtId="0" fontId="16" fillId="0" borderId="0" xfId="0" applyFont="1" applyAlignment="1">
      <alignment horizontal="left" vertical="center"/>
    </xf>
    <xf numFmtId="0" fontId="21" fillId="0" borderId="1" xfId="0" applyFont="1" applyBorder="1" applyAlignment="1">
      <alignment horizontal="center"/>
    </xf>
    <xf numFmtId="0" fontId="24" fillId="0" borderId="0" xfId="0" applyFont="1" applyAlignment="1">
      <alignment horizontal="left" vertical="center"/>
    </xf>
    <xf numFmtId="0" fontId="14" fillId="0" borderId="0" xfId="0" applyFont="1" applyAlignment="1">
      <alignment horizontal="left" vertical="center" indent="1"/>
    </xf>
    <xf numFmtId="3" fontId="15" fillId="0" borderId="1" xfId="0" applyNumberFormat="1" applyFont="1" applyBorder="1" applyAlignment="1">
      <alignment horizontal="right" vertical="center"/>
    </xf>
    <xf numFmtId="164" fontId="14" fillId="0" borderId="1" xfId="0" applyNumberFormat="1" applyFont="1" applyBorder="1" applyAlignment="1">
      <alignment horizontal="right" vertical="center"/>
    </xf>
    <xf numFmtId="0" fontId="21" fillId="0" borderId="0" xfId="0" applyFont="1" applyAlignment="1">
      <alignment horizontal="left" vertical="center" indent="1"/>
    </xf>
    <xf numFmtId="164" fontId="21" fillId="0" borderId="1" xfId="0" applyNumberFormat="1" applyFont="1" applyBorder="1" applyAlignment="1">
      <alignment horizontal="right" vertical="center"/>
    </xf>
    <xf numFmtId="3" fontId="25" fillId="0" borderId="1" xfId="0" applyNumberFormat="1" applyFont="1" applyBorder="1" applyAlignment="1">
      <alignment horizontal="right" vertical="center"/>
    </xf>
    <xf numFmtId="0" fontId="23" fillId="5" borderId="1" xfId="0" applyFont="1" applyFill="1" applyBorder="1" applyAlignment="1">
      <alignment horizontal="center"/>
    </xf>
    <xf numFmtId="165" fontId="21" fillId="0" borderId="1" xfId="0" applyNumberFormat="1" applyFont="1" applyBorder="1" applyAlignment="1">
      <alignment horizontal="right" vertical="center"/>
    </xf>
    <xf numFmtId="0" fontId="26" fillId="0" borderId="0" xfId="0" applyFont="1" applyAlignment="1">
      <alignment horizontal="left" vertical="center"/>
    </xf>
    <xf numFmtId="164" fontId="22" fillId="6" borderId="1" xfId="0" applyNumberFormat="1" applyFont="1" applyFill="1" applyBorder="1"/>
    <xf numFmtId="2" fontId="22" fillId="6" borderId="1" xfId="0" applyNumberFormat="1" applyFont="1" applyFill="1" applyBorder="1"/>
    <xf numFmtId="164" fontId="27" fillId="0" borderId="1" xfId="0" applyNumberFormat="1" applyFont="1" applyBorder="1"/>
    <xf numFmtId="164" fontId="5" fillId="7" borderId="1" xfId="0" applyNumberFormat="1" applyFont="1" applyFill="1" applyBorder="1"/>
    <xf numFmtId="164" fontId="12" fillId="6" borderId="1" xfId="0" applyNumberFormat="1" applyFont="1" applyFill="1" applyBorder="1"/>
    <xf numFmtId="0" fontId="27" fillId="0" borderId="1" xfId="0" applyFont="1" applyBorder="1" applyAlignment="1">
      <alignment horizontal="center"/>
    </xf>
    <xf numFmtId="166" fontId="22" fillId="6" borderId="1" xfId="0" applyNumberFormat="1" applyFont="1" applyFill="1" applyBorder="1"/>
    <xf numFmtId="0" fontId="28" fillId="0" borderId="0" xfId="0" applyFont="1" applyAlignment="1">
      <alignment horizontal="left" vertical="center"/>
    </xf>
    <xf numFmtId="164" fontId="0" fillId="0" borderId="0" xfId="0" applyNumberFormat="1"/>
    <xf numFmtId="3" fontId="21" fillId="0" borderId="1" xfId="0" applyNumberFormat="1" applyFont="1" applyBorder="1" applyAlignment="1">
      <alignment horizontal="right" vertical="center"/>
    </xf>
    <xf numFmtId="3" fontId="22" fillId="6" borderId="1" xfId="0" applyNumberFormat="1" applyFont="1" applyFill="1" applyBorder="1"/>
    <xf numFmtId="0" fontId="29" fillId="0" borderId="0" xfId="0" applyFont="1" applyAlignment="1">
      <alignment horizontal="left" vertical="center"/>
    </xf>
    <xf numFmtId="0" fontId="17" fillId="0" borderId="0" xfId="0" applyFont="1" applyAlignment="1">
      <alignment horizontal="left" vertical="center"/>
    </xf>
    <xf numFmtId="3" fontId="17" fillId="0" borderId="1" xfId="0" applyNumberFormat="1" applyFont="1" applyBorder="1" applyAlignment="1">
      <alignment horizontal="right" vertical="center"/>
    </xf>
    <xf numFmtId="3" fontId="0" fillId="0" borderId="0" xfId="0" applyNumberFormat="1"/>
    <xf numFmtId="1" fontId="21" fillId="0" borderId="1" xfId="0" applyNumberFormat="1" applyFont="1" applyBorder="1" applyAlignment="1">
      <alignment horizontal="right" vertical="center"/>
    </xf>
    <xf numFmtId="167" fontId="21" fillId="0" borderId="1" xfId="0" applyNumberFormat="1" applyFont="1" applyBorder="1" applyAlignment="1">
      <alignment horizontal="right" vertical="center"/>
    </xf>
    <xf numFmtId="3" fontId="17" fillId="7" borderId="1" xfId="0" applyNumberFormat="1" applyFont="1" applyFill="1" applyBorder="1" applyAlignment="1">
      <alignment horizontal="right" vertical="center"/>
    </xf>
    <xf numFmtId="166" fontId="25" fillId="0" borderId="1" xfId="0" applyNumberFormat="1" applyFont="1" applyBorder="1" applyAlignment="1">
      <alignment horizontal="right" vertical="center"/>
    </xf>
    <xf numFmtId="168" fontId="17" fillId="8" borderId="1" xfId="0" applyNumberFormat="1" applyFont="1" applyFill="1" applyBorder="1" applyAlignment="1">
      <alignment horizontal="right" vertical="center"/>
    </xf>
    <xf numFmtId="168" fontId="22" fillId="6" borderId="1" xfId="0" applyNumberFormat="1" applyFont="1" applyFill="1" applyBorder="1"/>
    <xf numFmtId="0" fontId="30" fillId="0" borderId="0" xfId="0" applyFont="1" applyAlignment="1">
      <alignment horizontal="left" vertical="center"/>
    </xf>
    <xf numFmtId="169" fontId="21" fillId="0" borderId="1" xfId="0" applyNumberFormat="1" applyFont="1" applyBorder="1" applyAlignment="1">
      <alignment horizontal="right" vertical="center"/>
    </xf>
    <xf numFmtId="169" fontId="22" fillId="6" borderId="1" xfId="0" applyNumberFormat="1" applyFont="1" applyFill="1" applyBorder="1"/>
    <xf numFmtId="0" fontId="17" fillId="8" borderId="0" xfId="0" applyFont="1" applyFill="1" applyAlignment="1">
      <alignment horizontal="left" vertical="center"/>
    </xf>
    <xf numFmtId="3" fontId="12" fillId="8" borderId="1" xfId="0" applyNumberFormat="1" applyFont="1" applyFill="1" applyBorder="1"/>
    <xf numFmtId="3" fontId="15" fillId="8" borderId="1" xfId="0" applyNumberFormat="1" applyFont="1" applyFill="1" applyBorder="1" applyAlignment="1">
      <alignment horizontal="right" vertical="center"/>
    </xf>
    <xf numFmtId="3" fontId="14" fillId="8" borderId="1" xfId="0" applyNumberFormat="1" applyFont="1" applyFill="1" applyBorder="1" applyAlignment="1">
      <alignment horizontal="right" vertical="center"/>
    </xf>
    <xf numFmtId="169" fontId="14" fillId="8" borderId="1" xfId="0" applyNumberFormat="1" applyFont="1" applyFill="1" applyBorder="1" applyAlignment="1">
      <alignment horizontal="right" vertical="center"/>
    </xf>
    <xf numFmtId="169" fontId="12" fillId="8" borderId="1" xfId="0" applyNumberFormat="1" applyFont="1" applyFill="1" applyBorder="1"/>
    <xf numFmtId="169" fontId="14" fillId="0" borderId="1" xfId="0" applyNumberFormat="1" applyFont="1" applyBorder="1" applyAlignment="1">
      <alignment horizontal="right" vertical="center"/>
    </xf>
    <xf numFmtId="0" fontId="21" fillId="0" borderId="1" xfId="0" applyFont="1" applyBorder="1" applyAlignment="1">
      <alignment horizontal="right" vertical="center"/>
    </xf>
    <xf numFmtId="164" fontId="20" fillId="2" borderId="1" xfId="0" applyNumberFormat="1" applyFont="1" applyFill="1" applyBorder="1" applyAlignment="1">
      <alignment horizontal="center" vertical="center" wrapText="1"/>
    </xf>
    <xf numFmtId="164" fontId="20" fillId="2" borderId="0" xfId="0" applyNumberFormat="1" applyFont="1" applyFill="1"/>
    <xf numFmtId="168" fontId="13" fillId="0" borderId="1" xfId="0" applyNumberFormat="1" applyFont="1" applyBorder="1" applyAlignment="1">
      <alignment horizontal="center"/>
    </xf>
    <xf numFmtId="168" fontId="13" fillId="0" borderId="2" xfId="0" applyNumberFormat="1" applyFont="1" applyBorder="1" applyAlignment="1">
      <alignment horizontal="center"/>
    </xf>
    <xf numFmtId="168" fontId="21" fillId="0" borderId="1" xfId="0" applyNumberFormat="1" applyFont="1" applyBorder="1" applyAlignment="1">
      <alignment horizontal="right" vertical="center"/>
    </xf>
    <xf numFmtId="0" fontId="0" fillId="3" borderId="3" xfId="0" applyFill="1" applyBorder="1"/>
    <xf numFmtId="0" fontId="0" fillId="10" borderId="0" xfId="0" applyFill="1"/>
    <xf numFmtId="171" fontId="22" fillId="0" borderId="1" xfId="0" applyNumberFormat="1" applyFont="1" applyBorder="1" applyAlignment="1">
      <alignment horizontal="right" vertical="center"/>
    </xf>
    <xf numFmtId="0" fontId="36" fillId="0" borderId="0" xfId="0" applyFont="1"/>
    <xf numFmtId="0" fontId="37" fillId="11" borderId="0" xfId="0" applyFont="1" applyFill="1"/>
    <xf numFmtId="168" fontId="15" fillId="0" borderId="1" xfId="0" applyNumberFormat="1" applyFont="1" applyBorder="1" applyAlignment="1">
      <alignment horizontal="right" vertical="center"/>
    </xf>
    <xf numFmtId="168" fontId="25" fillId="0" borderId="1" xfId="0" applyNumberFormat="1" applyFont="1" applyBorder="1" applyAlignment="1">
      <alignment horizontal="right" vertical="center"/>
    </xf>
    <xf numFmtId="164" fontId="15" fillId="0" borderId="1" xfId="0" applyNumberFormat="1" applyFont="1" applyBorder="1" applyAlignment="1">
      <alignment horizontal="right" vertical="center"/>
    </xf>
    <xf numFmtId="0" fontId="38" fillId="0" borderId="0" xfId="0" applyFont="1"/>
    <xf numFmtId="168" fontId="0" fillId="0" borderId="0" xfId="0" applyNumberFormat="1"/>
    <xf numFmtId="0" fontId="31" fillId="2" borderId="0" xfId="0" applyFont="1" applyFill="1" applyAlignment="1">
      <alignment horizontal="left" vertical="center"/>
    </xf>
    <xf numFmtId="0" fontId="32" fillId="2" borderId="0" xfId="0" applyFont="1" applyFill="1" applyAlignment="1">
      <alignment horizontal="right" vertical="center"/>
    </xf>
    <xf numFmtId="0" fontId="33" fillId="9" borderId="0" xfId="0" applyFont="1" applyFill="1" applyAlignment="1">
      <alignment horizontal="center" vertical="center"/>
    </xf>
    <xf numFmtId="0" fontId="34" fillId="3" borderId="3" xfId="0" applyFont="1" applyFill="1" applyBorder="1" applyAlignment="1">
      <alignment horizontal="left" vertical="center" indent="1"/>
    </xf>
    <xf numFmtId="170" fontId="35" fillId="3" borderId="3" xfId="0" applyNumberFormat="1" applyFont="1" applyFill="1" applyBorder="1" applyAlignment="1">
      <alignment horizontal="center" vertical="center"/>
    </xf>
    <xf numFmtId="168" fontId="35" fillId="3" borderId="3" xfId="0" applyNumberFormat="1" applyFont="1" applyFill="1" applyBorder="1" applyAlignment="1">
      <alignment horizontal="center" vertical="center"/>
    </xf>
    <xf numFmtId="165" fontId="35" fillId="3" borderId="3" xfId="0" applyNumberFormat="1" applyFont="1" applyFill="1" applyBorder="1" applyAlignment="1">
      <alignment horizontal="center" vertical="center"/>
    </xf>
    <xf numFmtId="164" fontId="35" fillId="3" borderId="3" xfId="0" applyNumberFormat="1" applyFont="1" applyFill="1" applyBorder="1" applyAlignment="1">
      <alignment horizontal="center" vertical="center"/>
    </xf>
    <xf numFmtId="0" fontId="21" fillId="7" borderId="0" xfId="0" applyFont="1" applyFill="1" applyAlignment="1">
      <alignment horizontal="left" vertical="center" wrapText="1" indent="1"/>
    </xf>
    <xf numFmtId="0" fontId="39" fillId="0" borderId="0" xfId="0" applyFont="1" applyAlignment="1">
      <alignment horizontal="left" vertical="center"/>
    </xf>
  </cellXfs>
  <cellStyles count="1">
    <cellStyle name="Normal" xfId="0" builtinId="0"/>
  </cellStyles>
  <dxfs count="31">
    <dxf>
      <fill>
        <patternFill>
          <bgColor rgb="FFF4CCCC"/>
        </patternFill>
      </fill>
    </dxf>
    <dxf>
      <fill>
        <patternFill>
          <bgColor rgb="FFD9EAD3"/>
        </patternFill>
      </fill>
    </dxf>
    <dxf>
      <font>
        <b/>
        <sz val="20"/>
        <color rgb="FFB08D2A"/>
      </font>
    </dxf>
    <dxf>
      <font>
        <b/>
        <sz val="20"/>
        <color rgb="FF2E7D32"/>
      </font>
    </dxf>
    <dxf>
      <font>
        <b/>
        <sz val="20"/>
        <color rgb="FF2E7D32"/>
      </font>
    </dxf>
    <dxf>
      <font>
        <b/>
        <sz val="20"/>
        <color rgb="FFA94442"/>
      </font>
    </dxf>
    <dxf>
      <fill>
        <patternFill>
          <bgColor rgb="FFF4CCCC"/>
        </patternFill>
      </fill>
    </dxf>
    <dxf>
      <fill>
        <patternFill>
          <bgColor rgb="FFF4CCCC"/>
        </patternFill>
      </fill>
    </dxf>
    <dxf>
      <fill>
        <patternFill>
          <bgColor rgb="FFD9EAD3"/>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
      <fill>
        <patternFill>
          <bgColor rgb="FFF4CCCC"/>
        </patternFill>
      </fill>
    </dxf>
  </dxfs>
  <tableStyles count="0" defaultTableStyle="TableStyleMedium2" defaultPivotStyle="PivotStyleLight16"/>
  <colors>
    <indexedColors>
      <rgbColor rgb="FF000000"/>
      <rgbColor rgb="FFFFFFFF"/>
      <rgbColor rgb="FFFF0000"/>
      <rgbColor rgb="FF87A44B"/>
      <rgbColor rgb="FF0000FF"/>
      <rgbColor rgb="FFFFFF00"/>
      <rgbColor rgb="FFFF00FF"/>
      <rgbColor rgb="FF8AA64F"/>
      <rgbColor rgb="FFB08D57"/>
      <rgbColor rgb="FF008000"/>
      <rgbColor rgb="FF000080"/>
      <rgbColor rgb="FFB08D2A"/>
      <rgbColor rgb="FF8064A2"/>
      <rgbColor rgb="FF2E7D32"/>
      <rgbColor rgb="FFBFBFBF"/>
      <rgbColor rgb="FF878787"/>
      <rgbColor rgb="FF8EA5CA"/>
      <rgbColor rgb="FFA94442"/>
      <rgbColor rgb="FFFFFFCC"/>
      <rgbColor rgb="FFF7F7F5"/>
      <rgbColor rgb="FF660066"/>
      <rgbColor rgb="FFCC8F8E"/>
      <rgbColor rgb="FF0563C1"/>
      <rgbColor rgb="FFD9D9D9"/>
      <rgbColor rgb="FF000080"/>
      <rgbColor rgb="FFFF00FF"/>
      <rgbColor rgb="FFFFF6E5"/>
      <rgbColor rgb="FF00FFFF"/>
      <rgbColor rgb="FF7A8B99"/>
      <rgbColor rgb="FF800000"/>
      <rgbColor rgb="FF4299B0"/>
      <rgbColor rgb="FF0000FF"/>
      <rgbColor rgb="FF4F81BD"/>
      <rgbColor rgb="FFEFEDE7"/>
      <rgbColor rgb="FFD9EAD3"/>
      <rgbColor rgb="FFFFF2CC"/>
      <rgbColor rgb="FF8CBFD2"/>
      <rgbColor rgb="FFF5B089"/>
      <rgbColor rgb="FFB3C992"/>
      <rgbColor rgb="FFF4CCCC"/>
      <rgbColor rgb="FF4C6FA5"/>
      <rgbColor rgb="FF4BACC6"/>
      <rgbColor rgb="FF9BBB59"/>
      <rgbColor rgb="FFC7A15A"/>
      <rgbColor rgb="FFDB8238"/>
      <rgbColor rgb="FFC0504D"/>
      <rgbColor rgb="FF725990"/>
      <rgbColor rgb="FFA596B9"/>
      <rgbColor rgb="FF6E6E6E"/>
      <rgbColor rgb="FF3D97AF"/>
      <rgbColor rgb="FF003300"/>
      <rgbColor rgb="FF222222"/>
      <rgbColor rgb="FFAB4744"/>
      <rgbColor rgb="FFAA433F"/>
      <rgbColor rgb="FF6F568D"/>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EBITDA &amp; EBITDA Margin Trend (FY21A-FY25A)</a:t>
            </a:r>
          </a:p>
        </c:rich>
      </c:tx>
      <c:overlay val="0"/>
      <c:spPr>
        <a:noFill/>
        <a:ln w="0">
          <a:noFill/>
        </a:ln>
      </c:spPr>
    </c:title>
    <c:autoTitleDeleted val="0"/>
    <c:plotArea>
      <c:layout/>
      <c:barChart>
        <c:barDir val="col"/>
        <c:grouping val="clustered"/>
        <c:varyColors val="0"/>
        <c:ser>
          <c:idx val="0"/>
          <c:order val="0"/>
          <c:tx>
            <c:strRef>
              <c:f>'Historical Financial Statements'!$A$5</c:f>
              <c:strCache>
                <c:ptCount val="1"/>
                <c:pt idx="0">
                  <c:v>Revenue</c:v>
                </c:pt>
              </c:strCache>
            </c:strRef>
          </c:tx>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Statements'!$B$5:$F$5</c:f>
              <c:numCache>
                <c:formatCode>#,##0</c:formatCode>
                <c:ptCount val="5"/>
                <c:pt idx="0">
                  <c:v>3850</c:v>
                </c:pt>
                <c:pt idx="1">
                  <c:v>3755</c:v>
                </c:pt>
                <c:pt idx="2">
                  <c:v>3698</c:v>
                </c:pt>
                <c:pt idx="3">
                  <c:v>4004</c:v>
                </c:pt>
                <c:pt idx="4">
                  <c:v>4399</c:v>
                </c:pt>
              </c:numCache>
            </c:numRef>
          </c:val>
          <c:extLst>
            <c:ext xmlns:c16="http://schemas.microsoft.com/office/drawing/2014/chart" uri="{C3380CC4-5D6E-409C-BE32-E72D297353CC}">
              <c16:uniqueId val="{00000000-480A-4785-97EC-C52EB731E1AB}"/>
            </c:ext>
          </c:extLst>
        </c:ser>
        <c:ser>
          <c:idx val="1"/>
          <c:order val="1"/>
          <c:tx>
            <c:strRef>
              <c:f>'Historical Financial Statements'!$A$7</c:f>
              <c:strCache>
                <c:ptCount val="1"/>
                <c:pt idx="0">
                  <c:v>EBITDA</c:v>
                </c:pt>
              </c:strCache>
            </c:strRef>
          </c:tx>
          <c:spPr>
            <a:solidFill>
              <a:srgbClr val="B08D5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Statements'!$B$7:$F$7</c:f>
              <c:numCache>
                <c:formatCode>#,##0</c:formatCode>
                <c:ptCount val="5"/>
                <c:pt idx="0">
                  <c:v>1840</c:v>
                </c:pt>
                <c:pt idx="1">
                  <c:v>1747</c:v>
                </c:pt>
                <c:pt idx="2">
                  <c:v>1612</c:v>
                </c:pt>
                <c:pt idx="3">
                  <c:v>1691</c:v>
                </c:pt>
                <c:pt idx="4">
                  <c:v>2009</c:v>
                </c:pt>
              </c:numCache>
            </c:numRef>
          </c:val>
          <c:extLst>
            <c:ext xmlns:c16="http://schemas.microsoft.com/office/drawing/2014/chart" uri="{C3380CC4-5D6E-409C-BE32-E72D297353CC}">
              <c16:uniqueId val="{00000001-480A-4785-97EC-C52EB731E1AB}"/>
            </c:ext>
          </c:extLst>
        </c:ser>
        <c:dLbls>
          <c:showLegendKey val="0"/>
          <c:showVal val="0"/>
          <c:showCatName val="0"/>
          <c:showSerName val="0"/>
          <c:showPercent val="0"/>
          <c:showBubbleSize val="0"/>
        </c:dLbls>
        <c:gapWidth val="150"/>
        <c:axId val="91829743"/>
        <c:axId val="64872210"/>
      </c:barChart>
      <c:lineChart>
        <c:grouping val="standard"/>
        <c:varyColors val="0"/>
        <c:ser>
          <c:idx val="2"/>
          <c:order val="2"/>
          <c:tx>
            <c:strRef>
              <c:f>'Historical Financial Statements'!$A$8</c:f>
              <c:strCache>
                <c:ptCount val="1"/>
                <c:pt idx="0">
                  <c:v>  EBITDA Margin %</c:v>
                </c:pt>
              </c:strCache>
            </c:strRef>
          </c:tx>
          <c:spPr>
            <a:ln w="21960">
              <a:solidFill>
                <a:srgbClr val="A94442"/>
              </a:solidFill>
              <a:round/>
            </a:ln>
          </c:spPr>
          <c:marker>
            <c:symbol val="circle"/>
            <c:size val="5"/>
            <c:spPr>
              <a:solidFill>
                <a:srgbClr val="A94442"/>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Statements'!$B$8:$F$8</c:f>
              <c:numCache>
                <c:formatCode>0.0%</c:formatCode>
                <c:ptCount val="5"/>
                <c:pt idx="0">
                  <c:v>0.47792207792207791</c:v>
                </c:pt>
                <c:pt idx="1">
                  <c:v>0.46524633821571237</c:v>
                </c:pt>
                <c:pt idx="2">
                  <c:v>0.43591130340724715</c:v>
                </c:pt>
                <c:pt idx="3">
                  <c:v>0.42232767232767232</c:v>
                </c:pt>
                <c:pt idx="4">
                  <c:v>0.45669470334166856</c:v>
                </c:pt>
              </c:numCache>
            </c:numRef>
          </c:val>
          <c:smooth val="1"/>
          <c:extLst>
            <c:ext xmlns:c16="http://schemas.microsoft.com/office/drawing/2014/chart" uri="{C3380CC4-5D6E-409C-BE32-E72D297353CC}">
              <c16:uniqueId val="{00000002-480A-4785-97EC-C52EB731E1AB}"/>
            </c:ext>
          </c:extLst>
        </c:ser>
        <c:dLbls>
          <c:showLegendKey val="0"/>
          <c:showVal val="0"/>
          <c:showCatName val="0"/>
          <c:showSerName val="0"/>
          <c:showPercent val="0"/>
          <c:showBubbleSize val="0"/>
        </c:dLbls>
        <c:hiLowLines>
          <c:spPr>
            <a:ln w="0">
              <a:noFill/>
            </a:ln>
          </c:spPr>
        </c:hiLowLines>
        <c:marker val="1"/>
        <c:smooth val="0"/>
        <c:axId val="85300943"/>
        <c:axId val="38658109"/>
      </c:lineChart>
      <c:catAx>
        <c:axId val="918297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872210"/>
        <c:crosses val="autoZero"/>
        <c:auto val="1"/>
        <c:lblAlgn val="ctr"/>
        <c:lblOffset val="100"/>
        <c:noMultiLvlLbl val="0"/>
      </c:catAx>
      <c:valAx>
        <c:axId val="6487221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 million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829743"/>
        <c:crosses val="autoZero"/>
        <c:crossBetween val="between"/>
      </c:valAx>
      <c:catAx>
        <c:axId val="853009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58109"/>
        <c:crosses val="autoZero"/>
        <c:auto val="1"/>
        <c:lblAlgn val="ctr"/>
        <c:lblOffset val="100"/>
        <c:noMultiLvlLbl val="0"/>
      </c:catAx>
      <c:valAx>
        <c:axId val="38658109"/>
        <c:scaling>
          <c:orientation val="minMax"/>
        </c:scaling>
        <c:delete val="0"/>
        <c:axPos val="r"/>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EBITDA Margin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300943"/>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Net Debt &amp; Leverage Trend (FY21A-FY25A)</a:t>
            </a:r>
          </a:p>
        </c:rich>
      </c:tx>
      <c:overlay val="0"/>
      <c:spPr>
        <a:noFill/>
        <a:ln w="0">
          <a:noFill/>
        </a:ln>
      </c:spPr>
    </c:title>
    <c:autoTitleDeleted val="0"/>
    <c:plotArea>
      <c:layout/>
      <c:barChart>
        <c:barDir val="col"/>
        <c:grouping val="clustered"/>
        <c:varyColors val="0"/>
        <c:ser>
          <c:idx val="0"/>
          <c:order val="0"/>
          <c:tx>
            <c:strRef>
              <c:f>'Historical Financial Statements'!$A$19</c:f>
              <c:strCache>
                <c:ptCount val="1"/>
                <c:pt idx="0">
                  <c:v>Net Debt</c:v>
                </c:pt>
              </c:strCache>
            </c:strRef>
          </c:tx>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Statements'!$B$19:$F$19</c:f>
              <c:numCache>
                <c:formatCode>#,##0</c:formatCode>
                <c:ptCount val="5"/>
                <c:pt idx="0">
                  <c:v>8394</c:v>
                </c:pt>
                <c:pt idx="1">
                  <c:v>5073</c:v>
                </c:pt>
                <c:pt idx="2">
                  <c:v>3254</c:v>
                </c:pt>
                <c:pt idx="3">
                  <c:v>3005</c:v>
                </c:pt>
                <c:pt idx="4">
                  <c:v>3413</c:v>
                </c:pt>
              </c:numCache>
            </c:numRef>
          </c:val>
          <c:extLst>
            <c:ext xmlns:c16="http://schemas.microsoft.com/office/drawing/2014/chart" uri="{C3380CC4-5D6E-409C-BE32-E72D297353CC}">
              <c16:uniqueId val="{00000000-4BBB-43F3-AEDB-D4797ED9C888}"/>
            </c:ext>
          </c:extLst>
        </c:ser>
        <c:dLbls>
          <c:showLegendKey val="0"/>
          <c:showVal val="0"/>
          <c:showCatName val="0"/>
          <c:showSerName val="0"/>
          <c:showPercent val="0"/>
          <c:showBubbleSize val="0"/>
        </c:dLbls>
        <c:gapWidth val="150"/>
        <c:axId val="61078441"/>
        <c:axId val="75248258"/>
      </c:barChart>
      <c:lineChart>
        <c:grouping val="standard"/>
        <c:varyColors val="0"/>
        <c:ser>
          <c:idx val="1"/>
          <c:order val="1"/>
          <c:tx>
            <c:strRef>
              <c:f>'Historical Financial Statements'!$A$20</c:f>
              <c:strCache>
                <c:ptCount val="1"/>
                <c:pt idx="0">
                  <c:v>  Net Debt / EBITDA (x)</c:v>
                </c:pt>
              </c:strCache>
            </c:strRef>
          </c:tx>
          <c:spPr>
            <a:ln w="21960">
              <a:solidFill>
                <a:srgbClr val="B08D57"/>
              </a:solidFill>
              <a:round/>
            </a:ln>
          </c:spPr>
          <c:marker>
            <c:symbol val="diamond"/>
            <c:size val="5"/>
            <c:spPr>
              <a:solidFill>
                <a:srgbClr val="B08D57"/>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Statements'!$B$20:$F$20</c:f>
              <c:numCache>
                <c:formatCode>0.00\x</c:formatCode>
                <c:ptCount val="5"/>
                <c:pt idx="0">
                  <c:v>4.5619565217391305</c:v>
                </c:pt>
                <c:pt idx="1">
                  <c:v>2.9038351459645106</c:v>
                </c:pt>
                <c:pt idx="2">
                  <c:v>2.0186104218362284</c:v>
                </c:pt>
                <c:pt idx="3">
                  <c:v>1.7770549970431697</c:v>
                </c:pt>
                <c:pt idx="4">
                  <c:v>1.6988551518168242</c:v>
                </c:pt>
              </c:numCache>
            </c:numRef>
          </c:val>
          <c:smooth val="1"/>
          <c:extLst>
            <c:ext xmlns:c16="http://schemas.microsoft.com/office/drawing/2014/chart" uri="{C3380CC4-5D6E-409C-BE32-E72D297353CC}">
              <c16:uniqueId val="{00000001-4BBB-43F3-AEDB-D4797ED9C888}"/>
            </c:ext>
          </c:extLst>
        </c:ser>
        <c:dLbls>
          <c:showLegendKey val="0"/>
          <c:showVal val="0"/>
          <c:showCatName val="0"/>
          <c:showSerName val="0"/>
          <c:showPercent val="0"/>
          <c:showBubbleSize val="0"/>
        </c:dLbls>
        <c:hiLowLines>
          <c:spPr>
            <a:ln w="0">
              <a:noFill/>
            </a:ln>
          </c:spPr>
        </c:hiLowLines>
        <c:marker val="1"/>
        <c:smooth val="0"/>
        <c:axId val="89806539"/>
        <c:axId val="70637585"/>
      </c:lineChart>
      <c:catAx>
        <c:axId val="610784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248258"/>
        <c:crosses val="autoZero"/>
        <c:auto val="1"/>
        <c:lblAlgn val="ctr"/>
        <c:lblOffset val="100"/>
        <c:noMultiLvlLbl val="0"/>
      </c:catAx>
      <c:valAx>
        <c:axId val="7524825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 million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078441"/>
        <c:crosses val="autoZero"/>
        <c:crossBetween val="between"/>
      </c:valAx>
      <c:catAx>
        <c:axId val="898065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637585"/>
        <c:crosses val="autoZero"/>
        <c:auto val="1"/>
        <c:lblAlgn val="ctr"/>
        <c:lblOffset val="100"/>
        <c:noMultiLvlLbl val="0"/>
      </c:catAx>
      <c:valAx>
        <c:axId val="70637585"/>
        <c:scaling>
          <c:orientation val="minMax"/>
        </c:scaling>
        <c:delete val="0"/>
        <c:axPos val="r"/>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Net Debt / EBITDA (x)</a:t>
                </a:r>
              </a:p>
            </c:rich>
          </c:tx>
          <c:overlay val="0"/>
          <c:spPr>
            <a:noFill/>
            <a:ln w="0">
              <a:noFill/>
            </a:ln>
          </c:spPr>
        </c:title>
        <c:numFmt formatCode="0.00\x"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806539"/>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WACC Build-Up</a:t>
            </a:r>
          </a:p>
        </c:rich>
      </c:tx>
      <c:overlay val="0"/>
      <c:spPr>
        <a:noFill/>
        <a:ln w="0">
          <a:noFill/>
        </a:ln>
      </c:spPr>
    </c:title>
    <c:autoTitleDeleted val="0"/>
    <c:plotArea>
      <c:layout/>
      <c:barChart>
        <c:barDir val="col"/>
        <c:grouping val="stacked"/>
        <c:varyColors val="0"/>
        <c:ser>
          <c:idx val="0"/>
          <c:order val="0"/>
          <c:tx>
            <c:strRef>
              <c:f>Assumptions!$B$50</c:f>
              <c:strCache>
                <c:ptCount val="1"/>
                <c:pt idx="0">
                  <c:v>Value</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Assumptions!$A$51:$A$53</c:f>
              <c:strCache>
                <c:ptCount val="3"/>
                <c:pt idx="0">
                  <c:v>Cost of Equity (wtd)</c:v>
                </c:pt>
                <c:pt idx="1">
                  <c:v>Cost of Debt (wtd, after-tax)</c:v>
                </c:pt>
                <c:pt idx="2">
                  <c:v>WACC (Total)</c:v>
                </c:pt>
              </c:strCache>
            </c:strRef>
          </c:cat>
          <c:val>
            <c:numRef>
              <c:f>Assumptions!$B$51:$B$53</c:f>
              <c:numCache>
                <c:formatCode>0.0%</c:formatCode>
                <c:ptCount val="3"/>
                <c:pt idx="0">
                  <c:v>0</c:v>
                </c:pt>
                <c:pt idx="1">
                  <c:v>0</c:v>
                </c:pt>
                <c:pt idx="2">
                  <c:v>0</c:v>
                </c:pt>
              </c:numCache>
            </c:numRef>
          </c:val>
          <c:extLst>
            <c:ext xmlns:c16="http://schemas.microsoft.com/office/drawing/2014/chart" uri="{C3380CC4-5D6E-409C-BE32-E72D297353CC}">
              <c16:uniqueId val="{00000000-8F3B-47CA-8D78-553D920B2CB8}"/>
            </c:ext>
          </c:extLst>
        </c:ser>
        <c:ser>
          <c:idx val="1"/>
          <c:order val="1"/>
          <c:tx>
            <c:strRef>
              <c:f>Assumptions!$C$50</c:f>
              <c:strCache>
                <c:ptCount val="1"/>
              </c:strCache>
            </c:strRef>
          </c:tx>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Assumptions!$A$51:$A$53</c:f>
              <c:strCache>
                <c:ptCount val="3"/>
                <c:pt idx="0">
                  <c:v>Cost of Equity (wtd)</c:v>
                </c:pt>
                <c:pt idx="1">
                  <c:v>Cost of Debt (wtd, after-tax)</c:v>
                </c:pt>
                <c:pt idx="2">
                  <c:v>WACC (Total)</c:v>
                </c:pt>
              </c:strCache>
            </c:strRef>
          </c:cat>
          <c:val>
            <c:numRef>
              <c:f>Assumptions!$C$51:$C$53</c:f>
              <c:numCache>
                <c:formatCode>0.0%</c:formatCode>
                <c:ptCount val="3"/>
                <c:pt idx="0">
                  <c:v>0</c:v>
                </c:pt>
                <c:pt idx="1">
                  <c:v>0</c:v>
                </c:pt>
                <c:pt idx="2">
                  <c:v>0</c:v>
                </c:pt>
              </c:numCache>
            </c:numRef>
          </c:val>
          <c:extLst>
            <c:ext xmlns:c16="http://schemas.microsoft.com/office/drawing/2014/chart" uri="{C3380CC4-5D6E-409C-BE32-E72D297353CC}">
              <c16:uniqueId val="{00000001-8F3B-47CA-8D78-553D920B2CB8}"/>
            </c:ext>
          </c:extLst>
        </c:ser>
        <c:dLbls>
          <c:showLegendKey val="0"/>
          <c:showVal val="0"/>
          <c:showCatName val="0"/>
          <c:showSerName val="0"/>
          <c:showPercent val="0"/>
          <c:showBubbleSize val="0"/>
        </c:dLbls>
        <c:gapWidth val="150"/>
        <c:overlap val="100"/>
        <c:axId val="4634071"/>
        <c:axId val="63681102"/>
      </c:barChart>
      <c:catAx>
        <c:axId val="46340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681102"/>
        <c:crosses val="autoZero"/>
        <c:auto val="1"/>
        <c:lblAlgn val="ctr"/>
        <c:lblOffset val="100"/>
        <c:noMultiLvlLbl val="0"/>
      </c:catAx>
      <c:valAx>
        <c:axId val="6368110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3407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Build by Segment (FY25A-FY30E)</a:t>
            </a:r>
          </a:p>
        </c:rich>
      </c:tx>
      <c:overlay val="0"/>
      <c:spPr>
        <a:noFill/>
        <a:ln w="0">
          <a:noFill/>
        </a:ln>
      </c:spPr>
    </c:title>
    <c:autoTitleDeleted val="0"/>
    <c:plotArea>
      <c:layout/>
      <c:barChart>
        <c:barDir val="col"/>
        <c:grouping val="stacked"/>
        <c:varyColors val="0"/>
        <c:ser>
          <c:idx val="0"/>
          <c:order val="0"/>
          <c:tx>
            <c:strRef>
              <c:f>'Revenue Forecast'!$A$3</c:f>
              <c:strCache>
                <c:ptCount val="1"/>
                <c:pt idx="0">
                  <c:v>Pakistan</c:v>
                </c:pt>
              </c:strCache>
            </c:strRef>
          </c:tx>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Forecast'!$B$2:$G$2</c:f>
              <c:strCache>
                <c:ptCount val="6"/>
                <c:pt idx="0">
                  <c:v>FY2025A</c:v>
                </c:pt>
                <c:pt idx="1">
                  <c:v>FY2026E</c:v>
                </c:pt>
                <c:pt idx="2">
                  <c:v>FY2027E</c:v>
                </c:pt>
                <c:pt idx="3">
                  <c:v>FY2028E</c:v>
                </c:pt>
                <c:pt idx="4">
                  <c:v>FY2029E</c:v>
                </c:pt>
                <c:pt idx="5">
                  <c:v>FY2030E</c:v>
                </c:pt>
              </c:strCache>
            </c:strRef>
          </c:cat>
          <c:val>
            <c:numRef>
              <c:f>'Revenue Forecast'!$B$3:$G$3</c:f>
              <c:numCache>
                <c:formatCode>#,##0</c:formatCode>
                <c:ptCount val="6"/>
                <c:pt idx="0">
                  <c:v>1624</c:v>
                </c:pt>
                <c:pt idx="1">
                  <c:v>1624</c:v>
                </c:pt>
                <c:pt idx="2">
                  <c:v>1624</c:v>
                </c:pt>
                <c:pt idx="3">
                  <c:v>1624</c:v>
                </c:pt>
                <c:pt idx="4">
                  <c:v>1624</c:v>
                </c:pt>
                <c:pt idx="5">
                  <c:v>1624</c:v>
                </c:pt>
              </c:numCache>
            </c:numRef>
          </c:val>
          <c:extLst>
            <c:ext xmlns:c16="http://schemas.microsoft.com/office/drawing/2014/chart" uri="{C3380CC4-5D6E-409C-BE32-E72D297353CC}">
              <c16:uniqueId val="{00000000-CCBF-4C5A-945F-71AB1F34911D}"/>
            </c:ext>
          </c:extLst>
        </c:ser>
        <c:ser>
          <c:idx val="1"/>
          <c:order val="1"/>
          <c:tx>
            <c:strRef>
              <c:f>'Revenue Forecast'!$A$4</c:f>
              <c:strCache>
                <c:ptCount val="1"/>
                <c:pt idx="0">
                  <c:v>Ukraine</c:v>
                </c:pt>
              </c:strCache>
            </c:strRef>
          </c:tx>
          <c:spPr>
            <a:solidFill>
              <a:srgbClr val="4C6FA5"/>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Forecast'!$B$2:$G$2</c:f>
              <c:strCache>
                <c:ptCount val="6"/>
                <c:pt idx="0">
                  <c:v>FY2025A</c:v>
                </c:pt>
                <c:pt idx="1">
                  <c:v>FY2026E</c:v>
                </c:pt>
                <c:pt idx="2">
                  <c:v>FY2027E</c:v>
                </c:pt>
                <c:pt idx="3">
                  <c:v>FY2028E</c:v>
                </c:pt>
                <c:pt idx="4">
                  <c:v>FY2029E</c:v>
                </c:pt>
                <c:pt idx="5">
                  <c:v>FY2030E</c:v>
                </c:pt>
              </c:strCache>
            </c:strRef>
          </c:cat>
          <c:val>
            <c:numRef>
              <c:f>'Revenue Forecast'!$B$4:$G$4</c:f>
              <c:numCache>
                <c:formatCode>#,##0</c:formatCode>
                <c:ptCount val="6"/>
                <c:pt idx="0">
                  <c:v>1164</c:v>
                </c:pt>
                <c:pt idx="1">
                  <c:v>1164</c:v>
                </c:pt>
                <c:pt idx="2">
                  <c:v>1164</c:v>
                </c:pt>
                <c:pt idx="3">
                  <c:v>1164</c:v>
                </c:pt>
                <c:pt idx="4">
                  <c:v>1164</c:v>
                </c:pt>
                <c:pt idx="5">
                  <c:v>1164</c:v>
                </c:pt>
              </c:numCache>
            </c:numRef>
          </c:val>
          <c:extLst>
            <c:ext xmlns:c16="http://schemas.microsoft.com/office/drawing/2014/chart" uri="{C3380CC4-5D6E-409C-BE32-E72D297353CC}">
              <c16:uniqueId val="{00000001-CCBF-4C5A-945F-71AB1F34911D}"/>
            </c:ext>
          </c:extLst>
        </c:ser>
        <c:ser>
          <c:idx val="2"/>
          <c:order val="2"/>
          <c:tx>
            <c:strRef>
              <c:f>'Revenue Forecast'!$A$5</c:f>
              <c:strCache>
                <c:ptCount val="1"/>
                <c:pt idx="0">
                  <c:v>Kazakhstan</c:v>
                </c:pt>
              </c:strCache>
            </c:strRef>
          </c:tx>
          <c:spPr>
            <a:solidFill>
              <a:srgbClr val="B08D5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Forecast'!$B$2:$G$2</c:f>
              <c:strCache>
                <c:ptCount val="6"/>
                <c:pt idx="0">
                  <c:v>FY2025A</c:v>
                </c:pt>
                <c:pt idx="1">
                  <c:v>FY2026E</c:v>
                </c:pt>
                <c:pt idx="2">
                  <c:v>FY2027E</c:v>
                </c:pt>
                <c:pt idx="3">
                  <c:v>FY2028E</c:v>
                </c:pt>
                <c:pt idx="4">
                  <c:v>FY2029E</c:v>
                </c:pt>
                <c:pt idx="5">
                  <c:v>FY2030E</c:v>
                </c:pt>
              </c:strCache>
            </c:strRef>
          </c:cat>
          <c:val>
            <c:numRef>
              <c:f>'Revenue Forecast'!$B$5:$G$5</c:f>
              <c:numCache>
                <c:formatCode>#,##0</c:formatCode>
                <c:ptCount val="6"/>
                <c:pt idx="0">
                  <c:v>816</c:v>
                </c:pt>
                <c:pt idx="1">
                  <c:v>816</c:v>
                </c:pt>
                <c:pt idx="2">
                  <c:v>816</c:v>
                </c:pt>
                <c:pt idx="3">
                  <c:v>816</c:v>
                </c:pt>
                <c:pt idx="4">
                  <c:v>816</c:v>
                </c:pt>
                <c:pt idx="5">
                  <c:v>816</c:v>
                </c:pt>
              </c:numCache>
            </c:numRef>
          </c:val>
          <c:extLst>
            <c:ext xmlns:c16="http://schemas.microsoft.com/office/drawing/2014/chart" uri="{C3380CC4-5D6E-409C-BE32-E72D297353CC}">
              <c16:uniqueId val="{00000002-CCBF-4C5A-945F-71AB1F34911D}"/>
            </c:ext>
          </c:extLst>
        </c:ser>
        <c:ser>
          <c:idx val="3"/>
          <c:order val="3"/>
          <c:tx>
            <c:strRef>
              <c:f>'Revenue Forecast'!$A$6</c:f>
              <c:strCache>
                <c:ptCount val="1"/>
                <c:pt idx="0">
                  <c:v>Bangladesh</c:v>
                </c:pt>
              </c:strCache>
            </c:strRef>
          </c:tx>
          <c:spPr>
            <a:solidFill>
              <a:srgbClr val="7A8B9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Forecast'!$B$2:$G$2</c:f>
              <c:strCache>
                <c:ptCount val="6"/>
                <c:pt idx="0">
                  <c:v>FY2025A</c:v>
                </c:pt>
                <c:pt idx="1">
                  <c:v>FY2026E</c:v>
                </c:pt>
                <c:pt idx="2">
                  <c:v>FY2027E</c:v>
                </c:pt>
                <c:pt idx="3">
                  <c:v>FY2028E</c:v>
                </c:pt>
                <c:pt idx="4">
                  <c:v>FY2029E</c:v>
                </c:pt>
                <c:pt idx="5">
                  <c:v>FY2030E</c:v>
                </c:pt>
              </c:strCache>
            </c:strRef>
          </c:cat>
          <c:val>
            <c:numRef>
              <c:f>'Revenue Forecast'!$B$6:$G$6</c:f>
              <c:numCache>
                <c:formatCode>#,##0</c:formatCode>
                <c:ptCount val="6"/>
                <c:pt idx="0">
                  <c:v>460</c:v>
                </c:pt>
                <c:pt idx="1">
                  <c:v>460</c:v>
                </c:pt>
                <c:pt idx="2">
                  <c:v>460</c:v>
                </c:pt>
                <c:pt idx="3">
                  <c:v>460</c:v>
                </c:pt>
                <c:pt idx="4">
                  <c:v>460</c:v>
                </c:pt>
                <c:pt idx="5">
                  <c:v>460</c:v>
                </c:pt>
              </c:numCache>
            </c:numRef>
          </c:val>
          <c:extLst>
            <c:ext xmlns:c16="http://schemas.microsoft.com/office/drawing/2014/chart" uri="{C3380CC4-5D6E-409C-BE32-E72D297353CC}">
              <c16:uniqueId val="{00000003-CCBF-4C5A-945F-71AB1F34911D}"/>
            </c:ext>
          </c:extLst>
        </c:ser>
        <c:ser>
          <c:idx val="4"/>
          <c:order val="4"/>
          <c:tx>
            <c:strRef>
              <c:f>'Revenue Forecast'!$A$7</c:f>
              <c:strCache>
                <c:ptCount val="1"/>
                <c:pt idx="0">
                  <c:v>Uzbekistan</c:v>
                </c:pt>
              </c:strCache>
            </c:strRef>
          </c:tx>
          <c:spPr>
            <a:solidFill>
              <a:srgbClr val="C7A15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Forecast'!$B$2:$G$2</c:f>
              <c:strCache>
                <c:ptCount val="6"/>
                <c:pt idx="0">
                  <c:v>FY2025A</c:v>
                </c:pt>
                <c:pt idx="1">
                  <c:v>FY2026E</c:v>
                </c:pt>
                <c:pt idx="2">
                  <c:v>FY2027E</c:v>
                </c:pt>
                <c:pt idx="3">
                  <c:v>FY2028E</c:v>
                </c:pt>
                <c:pt idx="4">
                  <c:v>FY2029E</c:v>
                </c:pt>
                <c:pt idx="5">
                  <c:v>FY2030E</c:v>
                </c:pt>
              </c:strCache>
            </c:strRef>
          </c:cat>
          <c:val>
            <c:numRef>
              <c:f>'Revenue Forecast'!$B$7:$G$7</c:f>
              <c:numCache>
                <c:formatCode>#,##0</c:formatCode>
                <c:ptCount val="6"/>
                <c:pt idx="0">
                  <c:v>308</c:v>
                </c:pt>
                <c:pt idx="1">
                  <c:v>308</c:v>
                </c:pt>
                <c:pt idx="2">
                  <c:v>308</c:v>
                </c:pt>
                <c:pt idx="3">
                  <c:v>308</c:v>
                </c:pt>
                <c:pt idx="4">
                  <c:v>308</c:v>
                </c:pt>
                <c:pt idx="5">
                  <c:v>308</c:v>
                </c:pt>
              </c:numCache>
            </c:numRef>
          </c:val>
          <c:extLst>
            <c:ext xmlns:c16="http://schemas.microsoft.com/office/drawing/2014/chart" uri="{C3380CC4-5D6E-409C-BE32-E72D297353CC}">
              <c16:uniqueId val="{00000004-CCBF-4C5A-945F-71AB1F34911D}"/>
            </c:ext>
          </c:extLst>
        </c:ser>
        <c:ser>
          <c:idx val="5"/>
          <c:order val="5"/>
          <c:tx>
            <c:strRef>
              <c:f>'Revenue Forecast'!$A$8</c:f>
              <c:strCache>
                <c:ptCount val="1"/>
                <c:pt idx="0">
                  <c:v>Other / HQ</c:v>
                </c:pt>
              </c:strCache>
            </c:strRef>
          </c:tx>
          <c:spPr>
            <a:solidFill>
              <a:srgbClr val="D9D9D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Forecast'!$B$2:$G$2</c:f>
              <c:strCache>
                <c:ptCount val="6"/>
                <c:pt idx="0">
                  <c:v>FY2025A</c:v>
                </c:pt>
                <c:pt idx="1">
                  <c:v>FY2026E</c:v>
                </c:pt>
                <c:pt idx="2">
                  <c:v>FY2027E</c:v>
                </c:pt>
                <c:pt idx="3">
                  <c:v>FY2028E</c:v>
                </c:pt>
                <c:pt idx="4">
                  <c:v>FY2029E</c:v>
                </c:pt>
                <c:pt idx="5">
                  <c:v>FY2030E</c:v>
                </c:pt>
              </c:strCache>
            </c:strRef>
          </c:cat>
          <c:val>
            <c:numRef>
              <c:f>'Revenue Forecast'!$B$8:$G$8</c:f>
              <c:numCache>
                <c:formatCode>#,##0</c:formatCode>
                <c:ptCount val="6"/>
                <c:pt idx="0">
                  <c:v>27</c:v>
                </c:pt>
                <c:pt idx="1">
                  <c:v>27</c:v>
                </c:pt>
                <c:pt idx="2">
                  <c:v>27</c:v>
                </c:pt>
                <c:pt idx="3">
                  <c:v>27</c:v>
                </c:pt>
                <c:pt idx="4">
                  <c:v>27</c:v>
                </c:pt>
                <c:pt idx="5">
                  <c:v>27</c:v>
                </c:pt>
              </c:numCache>
            </c:numRef>
          </c:val>
          <c:extLst>
            <c:ext xmlns:c16="http://schemas.microsoft.com/office/drawing/2014/chart" uri="{C3380CC4-5D6E-409C-BE32-E72D297353CC}">
              <c16:uniqueId val="{00000005-CCBF-4C5A-945F-71AB1F34911D}"/>
            </c:ext>
          </c:extLst>
        </c:ser>
        <c:dLbls>
          <c:showLegendKey val="0"/>
          <c:showVal val="0"/>
          <c:showCatName val="0"/>
          <c:showSerName val="0"/>
          <c:showPercent val="0"/>
          <c:showBubbleSize val="0"/>
        </c:dLbls>
        <c:gapWidth val="150"/>
        <c:overlap val="100"/>
        <c:axId val="50108278"/>
        <c:axId val="77382813"/>
      </c:barChart>
      <c:catAx>
        <c:axId val="501082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382813"/>
        <c:crosses val="autoZero"/>
        <c:auto val="1"/>
        <c:lblAlgn val="ctr"/>
        <c:lblOffset val="100"/>
        <c:noMultiLvlLbl val="0"/>
      </c:catAx>
      <c:valAx>
        <c:axId val="7738281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 million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10827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Digital Revenue Penetration (% of Total)</a:t>
            </a:r>
          </a:p>
        </c:rich>
      </c:tx>
      <c:overlay val="0"/>
      <c:spPr>
        <a:noFill/>
        <a:ln w="0">
          <a:noFill/>
        </a:ln>
      </c:spPr>
    </c:title>
    <c:autoTitleDeleted val="0"/>
    <c:plotArea>
      <c:layout/>
      <c:lineChart>
        <c:grouping val="standard"/>
        <c:varyColors val="0"/>
        <c:ser>
          <c:idx val="0"/>
          <c:order val="0"/>
          <c:tx>
            <c:strRef>
              <c:f>'Revenue Forecast'!$A$16</c:f>
              <c:strCache>
                <c:ptCount val="1"/>
                <c:pt idx="0">
                  <c:v>Digital % of Total Revenue</c:v>
                </c:pt>
              </c:strCache>
            </c:strRef>
          </c:tx>
          <c:spPr>
            <a:ln w="24840">
              <a:solidFill>
                <a:srgbClr val="B08D57"/>
              </a:solidFill>
              <a:round/>
            </a:ln>
          </c:spPr>
          <c:marker>
            <c:symbol val="circle"/>
            <c:size val="5"/>
            <c:spPr>
              <a:solidFill>
                <a:srgbClr val="B08D57"/>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'Revenue Forecast'!$B$2:$G$2</c:f>
              <c:strCache>
                <c:ptCount val="6"/>
                <c:pt idx="0">
                  <c:v>FY2025A</c:v>
                </c:pt>
                <c:pt idx="1">
                  <c:v>FY2026E</c:v>
                </c:pt>
                <c:pt idx="2">
                  <c:v>FY2027E</c:v>
                </c:pt>
                <c:pt idx="3">
                  <c:v>FY2028E</c:v>
                </c:pt>
                <c:pt idx="4">
                  <c:v>FY2029E</c:v>
                </c:pt>
                <c:pt idx="5">
                  <c:v>FY2030E</c:v>
                </c:pt>
              </c:strCache>
            </c:strRef>
          </c:cat>
          <c:val>
            <c:numRef>
              <c:f>'Revenue Forecast'!$B$16:$G$16</c:f>
              <c:numCache>
                <c:formatCode>0.0%</c:formatCode>
                <c:ptCount val="6"/>
                <c:pt idx="0">
                  <c:v>0.17253921345760401</c:v>
                </c:pt>
                <c:pt idx="1">
                  <c:v>0</c:v>
                </c:pt>
                <c:pt idx="2">
                  <c:v>0</c:v>
                </c:pt>
                <c:pt idx="3">
                  <c:v>0</c:v>
                </c:pt>
                <c:pt idx="4">
                  <c:v>0</c:v>
                </c:pt>
                <c:pt idx="5">
                  <c:v>0</c:v>
                </c:pt>
              </c:numCache>
            </c:numRef>
          </c:val>
          <c:smooth val="1"/>
          <c:extLst>
            <c:ext xmlns:c16="http://schemas.microsoft.com/office/drawing/2014/chart" uri="{C3380CC4-5D6E-409C-BE32-E72D297353CC}">
              <c16:uniqueId val="{00000000-B6AA-4C87-87D9-271C9B4882B8}"/>
            </c:ext>
          </c:extLst>
        </c:ser>
        <c:dLbls>
          <c:showLegendKey val="0"/>
          <c:showVal val="0"/>
          <c:showCatName val="0"/>
          <c:showSerName val="0"/>
          <c:showPercent val="0"/>
          <c:showBubbleSize val="0"/>
        </c:dLbls>
        <c:hiLowLines>
          <c:spPr>
            <a:ln w="0">
              <a:noFill/>
            </a:ln>
          </c:spPr>
        </c:hiLowLines>
        <c:marker val="1"/>
        <c:smooth val="0"/>
        <c:axId val="50717148"/>
        <c:axId val="5639248"/>
      </c:lineChart>
      <c:catAx>
        <c:axId val="507171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39248"/>
        <c:crosses val="autoZero"/>
        <c:auto val="1"/>
        <c:lblAlgn val="ctr"/>
        <c:lblOffset val="100"/>
        <c:noMultiLvlLbl val="0"/>
      </c:catAx>
      <c:valAx>
        <c:axId val="563924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 of Total Revenue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71714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EBITDA Bridge FY2025A-FY2030E</a:t>
            </a:r>
          </a:p>
        </c:rich>
      </c:tx>
      <c:overlay val="0"/>
      <c:spPr>
        <a:noFill/>
        <a:ln w="0">
          <a:noFill/>
        </a:ln>
      </c:spPr>
    </c:title>
    <c:autoTitleDeleted val="0"/>
    <c:plotArea>
      <c:layout/>
      <c:barChart>
        <c:barDir val="col"/>
        <c:grouping val="stacked"/>
        <c:varyColors val="0"/>
        <c:ser>
          <c:idx val="0"/>
          <c:order val="0"/>
          <c:tx>
            <c:strRef>
              <c:f>'Operating Forecast'!$B$25</c:f>
              <c:strCache>
                <c:ptCount val="1"/>
                <c:pt idx="0">
                  <c:v>Base</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'Operating Forecast'!$A$26:$A$32</c:f>
              <c:strCache>
                <c:ptCount val="7"/>
                <c:pt idx="0">
                  <c:v>FY25A EBITDA</c:v>
                </c:pt>
                <c:pt idx="1">
                  <c:v>Δ Pakistan (FY25A-&gt;FY30E)</c:v>
                </c:pt>
                <c:pt idx="2">
                  <c:v>Δ Ukraine (FY25A-&gt;FY30E)</c:v>
                </c:pt>
                <c:pt idx="3">
                  <c:v>Δ Kazakhstan (FY25A-&gt;FY30E)</c:v>
                </c:pt>
                <c:pt idx="4">
                  <c:v>Δ Bangladesh (FY25A-&gt;FY30E)</c:v>
                </c:pt>
                <c:pt idx="5">
                  <c:v>Δ Uzbekistan (FY25A-&gt;FY30E)</c:v>
                </c:pt>
                <c:pt idx="6">
                  <c:v>FY30E EBITDA</c:v>
                </c:pt>
              </c:strCache>
            </c:strRef>
          </c:cat>
          <c:val>
            <c:numRef>
              <c:f>'Operating Forecast'!$B$26:$B$32</c:f>
              <c:numCache>
                <c:formatCode>#,##0</c:formatCode>
                <c:ptCount val="7"/>
                <c:pt idx="0">
                  <c:v>0</c:v>
                </c:pt>
                <c:pt idx="1">
                  <c:v>2009</c:v>
                </c:pt>
                <c:pt idx="2">
                  <c:v>2009</c:v>
                </c:pt>
                <c:pt idx="3">
                  <c:v>2009</c:v>
                </c:pt>
                <c:pt idx="4">
                  <c:v>2009</c:v>
                </c:pt>
                <c:pt idx="5">
                  <c:v>2009</c:v>
                </c:pt>
                <c:pt idx="6">
                  <c:v>0</c:v>
                </c:pt>
              </c:numCache>
            </c:numRef>
          </c:val>
          <c:extLst>
            <c:ext xmlns:c16="http://schemas.microsoft.com/office/drawing/2014/chart" uri="{C3380CC4-5D6E-409C-BE32-E72D297353CC}">
              <c16:uniqueId val="{00000000-9BFD-4B03-9E4C-36E3AD757C5C}"/>
            </c:ext>
          </c:extLst>
        </c:ser>
        <c:ser>
          <c:idx val="1"/>
          <c:order val="1"/>
          <c:tx>
            <c:strRef>
              <c:f>'Operating Forecast'!$C$25</c:f>
              <c:strCache>
                <c:ptCount val="1"/>
                <c:pt idx="0">
                  <c:v>Delta</c:v>
                </c:pt>
              </c:strCache>
            </c:strRef>
          </c:tx>
          <c:spPr>
            <a:solidFill>
              <a:srgbClr val="B08D5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'Operating Forecast'!$A$26:$A$32</c:f>
              <c:strCache>
                <c:ptCount val="7"/>
                <c:pt idx="0">
                  <c:v>FY25A EBITDA</c:v>
                </c:pt>
                <c:pt idx="1">
                  <c:v>Δ Pakistan (FY25A-&gt;FY30E)</c:v>
                </c:pt>
                <c:pt idx="2">
                  <c:v>Δ Ukraine (FY25A-&gt;FY30E)</c:v>
                </c:pt>
                <c:pt idx="3">
                  <c:v>Δ Kazakhstan (FY25A-&gt;FY30E)</c:v>
                </c:pt>
                <c:pt idx="4">
                  <c:v>Δ Bangladesh (FY25A-&gt;FY30E)</c:v>
                </c:pt>
                <c:pt idx="5">
                  <c:v>Δ Uzbekistan (FY25A-&gt;FY30E)</c:v>
                </c:pt>
                <c:pt idx="6">
                  <c:v>FY30E EBITDA</c:v>
                </c:pt>
              </c:strCache>
            </c:strRef>
          </c:cat>
          <c:val>
            <c:numRef>
              <c:f>'Operating Forecast'!$C$26:$C$32</c:f>
              <c:numCache>
                <c:formatCode>#,##0</c:formatCode>
                <c:ptCount val="7"/>
                <c:pt idx="0">
                  <c:v>2009</c:v>
                </c:pt>
                <c:pt idx="1">
                  <c:v>0</c:v>
                </c:pt>
                <c:pt idx="2">
                  <c:v>0</c:v>
                </c:pt>
                <c:pt idx="3">
                  <c:v>0</c:v>
                </c:pt>
                <c:pt idx="4">
                  <c:v>0</c:v>
                </c:pt>
                <c:pt idx="5">
                  <c:v>0</c:v>
                </c:pt>
                <c:pt idx="6">
                  <c:v>0</c:v>
                </c:pt>
              </c:numCache>
            </c:numRef>
          </c:val>
          <c:extLst>
            <c:ext xmlns:c16="http://schemas.microsoft.com/office/drawing/2014/chart" uri="{C3380CC4-5D6E-409C-BE32-E72D297353CC}">
              <c16:uniqueId val="{00000001-9BFD-4B03-9E4C-36E3AD757C5C}"/>
            </c:ext>
          </c:extLst>
        </c:ser>
        <c:dLbls>
          <c:showLegendKey val="0"/>
          <c:showVal val="0"/>
          <c:showCatName val="0"/>
          <c:showSerName val="0"/>
          <c:showPercent val="0"/>
          <c:showBubbleSize val="0"/>
        </c:dLbls>
        <c:gapWidth val="150"/>
        <c:overlap val="100"/>
        <c:axId val="19495597"/>
        <c:axId val="12192345"/>
      </c:barChart>
      <c:catAx>
        <c:axId val="194955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192345"/>
        <c:crosses val="autoZero"/>
        <c:auto val="1"/>
        <c:lblAlgn val="ctr"/>
        <c:lblOffset val="100"/>
        <c:noMultiLvlLbl val="0"/>
      </c:catAx>
      <c:valAx>
        <c:axId val="1219234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49559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Enterprise Value Composition</a:t>
            </a:r>
          </a:p>
        </c:rich>
      </c:tx>
      <c:overlay val="0"/>
      <c:spPr>
        <a:noFill/>
        <a:ln w="0">
          <a:noFill/>
        </a:ln>
      </c:spPr>
    </c:title>
    <c:autoTitleDeleted val="0"/>
    <c:plotArea>
      <c:layout/>
      <c:barChart>
        <c:barDir val="bar"/>
        <c:grouping val="stacked"/>
        <c:varyColors val="0"/>
        <c:ser>
          <c:idx val="0"/>
          <c:order val="0"/>
          <c:tx>
            <c:v>PV of Explicit FCF</c:v>
          </c:tx>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'DCF Valuation'!$B$27</c:f>
              <c:numCache>
                <c:formatCode>#,##0</c:formatCode>
                <c:ptCount val="1"/>
                <c:pt idx="0">
                  <c:v>0</c:v>
                </c:pt>
              </c:numCache>
            </c:numRef>
          </c:val>
          <c:extLst>
            <c:ext xmlns:c16="http://schemas.microsoft.com/office/drawing/2014/chart" uri="{C3380CC4-5D6E-409C-BE32-E72D297353CC}">
              <c16:uniqueId val="{00000000-67FB-4F50-AE9E-2BD6E2E21224}"/>
            </c:ext>
          </c:extLst>
        </c:ser>
        <c:ser>
          <c:idx val="1"/>
          <c:order val="1"/>
          <c:tx>
            <c:v>PV of Terminal Value</c:v>
          </c:tx>
          <c:spPr>
            <a:solidFill>
              <a:srgbClr val="B08D5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'DCF Valuation'!$B$28</c:f>
              <c:numCache>
                <c:formatCode>#,##0</c:formatCode>
                <c:ptCount val="1"/>
                <c:pt idx="0">
                  <c:v>0</c:v>
                </c:pt>
              </c:numCache>
            </c:numRef>
          </c:val>
          <c:extLst>
            <c:ext xmlns:c16="http://schemas.microsoft.com/office/drawing/2014/chart" uri="{C3380CC4-5D6E-409C-BE32-E72D297353CC}">
              <c16:uniqueId val="{00000001-67FB-4F50-AE9E-2BD6E2E21224}"/>
            </c:ext>
          </c:extLst>
        </c:ser>
        <c:dLbls>
          <c:showLegendKey val="0"/>
          <c:showVal val="0"/>
          <c:showCatName val="0"/>
          <c:showSerName val="0"/>
          <c:showPercent val="0"/>
          <c:showBubbleSize val="0"/>
        </c:dLbls>
        <c:gapWidth val="150"/>
        <c:overlap val="100"/>
        <c:axId val="42729636"/>
        <c:axId val="1177810"/>
      </c:barChart>
      <c:catAx>
        <c:axId val="4272963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77810"/>
        <c:crosses val="autoZero"/>
        <c:auto val="1"/>
        <c:lblAlgn val="ctr"/>
        <c:lblOffset val="100"/>
        <c:noMultiLvlLbl val="0"/>
      </c:catAx>
      <c:valAx>
        <c:axId val="1177810"/>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272963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Peer Positioning — EV/EBITDA vs. Revenue (proxy for growth profile)</a:t>
            </a:r>
          </a:p>
        </c:rich>
      </c:tx>
      <c:overlay val="0"/>
      <c:spPr>
        <a:noFill/>
        <a:ln w="0">
          <a:noFill/>
        </a:ln>
      </c:spPr>
    </c:title>
    <c:autoTitleDeleted val="0"/>
    <c:plotArea>
      <c:layout/>
      <c:scatterChart>
        <c:scatterStyle val="lineMarker"/>
        <c:varyColors val="0"/>
        <c:ser>
          <c:idx val="0"/>
          <c:order val="0"/>
          <c:tx>
            <c:v>Peers</c:v>
          </c:tx>
          <c:spPr>
            <a:ln w="28440">
              <a:noFill/>
            </a:ln>
          </c:spPr>
          <c:marker>
            <c:symbol val="circle"/>
            <c:size val="7"/>
            <c:spPr>
              <a:solidFill>
                <a:srgbClr val="D9D9D9"/>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strRef>
              <c:f>'Trading Comparables'!$H$4:$H$11</c:f>
              <c:strCache>
                <c:ptCount val="8"/>
                <c:pt idx="0">
                  <c:v>n/a</c:v>
                </c:pt>
                <c:pt idx="1">
                  <c:v>n/a</c:v>
                </c:pt>
                <c:pt idx="2">
                  <c:v>n/a</c:v>
                </c:pt>
                <c:pt idx="3">
                  <c:v>n/a</c:v>
                </c:pt>
                <c:pt idx="4">
                  <c:v>n/a</c:v>
                </c:pt>
                <c:pt idx="5">
                  <c:v>n/a</c:v>
                </c:pt>
                <c:pt idx="6">
                  <c:v>n/a</c:v>
                </c:pt>
                <c:pt idx="7">
                  <c:v>n/a</c:v>
                </c:pt>
              </c:strCache>
            </c:strRef>
          </c:xVal>
          <c:yVal>
            <c:numRef>
              <c:f>'Trading Comparables'!$F$4:$F$11</c:f>
              <c:numCache>
                <c:formatCode>#,##0</c:formatCode>
                <c:ptCount val="8"/>
              </c:numCache>
            </c:numRef>
          </c:yVal>
          <c:smooth val="1"/>
          <c:extLst>
            <c:ext xmlns:c16="http://schemas.microsoft.com/office/drawing/2014/chart" uri="{C3380CC4-5D6E-409C-BE32-E72D297353CC}">
              <c16:uniqueId val="{00000000-FE69-4CD0-A0D9-BE7208C6D636}"/>
            </c:ext>
          </c:extLst>
        </c:ser>
        <c:ser>
          <c:idx val="1"/>
          <c:order val="1"/>
          <c:tx>
            <c:v>VEON</c:v>
          </c:tx>
          <c:spPr>
            <a:ln w="28440">
              <a:noFill/>
            </a:ln>
          </c:spPr>
          <c:marker>
            <c:symbol val="diamond"/>
            <c:size val="12"/>
            <c:spPr>
              <a:solidFill>
                <a:srgbClr val="B08D57"/>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'Trading Comparables'!$H$12</c:f>
              <c:numCache>
                <c:formatCode>0.0\x</c:formatCode>
                <c:ptCount val="1"/>
                <c:pt idx="0">
                  <c:v>1.6988551518168242</c:v>
                </c:pt>
              </c:numCache>
            </c:numRef>
          </c:xVal>
          <c:yVal>
            <c:numRef>
              <c:f>'Trading Comparables'!$F$12</c:f>
              <c:numCache>
                <c:formatCode>#,##0</c:formatCode>
                <c:ptCount val="1"/>
                <c:pt idx="0">
                  <c:v>4399</c:v>
                </c:pt>
              </c:numCache>
            </c:numRef>
          </c:yVal>
          <c:smooth val="1"/>
          <c:extLst>
            <c:ext xmlns:c16="http://schemas.microsoft.com/office/drawing/2014/chart" uri="{C3380CC4-5D6E-409C-BE32-E72D297353CC}">
              <c16:uniqueId val="{00000001-FE69-4CD0-A0D9-BE7208C6D636}"/>
            </c:ext>
          </c:extLst>
        </c:ser>
        <c:dLbls>
          <c:showLegendKey val="0"/>
          <c:showVal val="0"/>
          <c:showCatName val="0"/>
          <c:showSerName val="0"/>
          <c:showPercent val="0"/>
          <c:showBubbleSize val="0"/>
        </c:dLbls>
        <c:axId val="72444202"/>
        <c:axId val="76712854"/>
      </c:scatterChart>
      <c:valAx>
        <c:axId val="72444202"/>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EV/EBITDA (x)</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712854"/>
        <c:crosses val="autoZero"/>
        <c:crossBetween val="midCat"/>
      </c:valAx>
      <c:valAx>
        <c:axId val="7671285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 (USD mn)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444202"/>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Valuation Sensitivity — Key Driver Ranking</a:t>
            </a:r>
          </a:p>
        </c:rich>
      </c:tx>
      <c:overlay val="0"/>
      <c:spPr>
        <a:noFill/>
        <a:ln w="0">
          <a:noFill/>
        </a:ln>
      </c:spPr>
    </c:title>
    <c:autoTitleDeleted val="0"/>
    <c:plotArea>
      <c:layout/>
      <c:barChart>
        <c:barDir val="bar"/>
        <c:grouping val="clustered"/>
        <c:varyColors val="0"/>
        <c:ser>
          <c:idx val="0"/>
          <c:order val="0"/>
          <c:tx>
            <c:strRef>
              <c:f>'Sensitivity Analysis'!$B$13</c:f>
              <c:strCache>
                <c:ptCount val="1"/>
                <c:pt idx="0">
                  <c:v>Low Case ($)</c:v>
                </c:pt>
              </c:strCache>
            </c:strRef>
          </c:tx>
          <c:spPr>
            <a:solidFill>
              <a:srgbClr val="A9444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'Sensitivity Analysis'!$A$14:$A$17</c:f>
              <c:strCache>
                <c:ptCount val="4"/>
                <c:pt idx="0">
                  <c:v>WACC (+/-2.0%)</c:v>
                </c:pt>
                <c:pt idx="1">
                  <c:v>Terminal Growth (+/-1.0%)</c:v>
                </c:pt>
                <c:pt idx="2">
                  <c:v>Digital Margin Assumption</c:v>
                </c:pt>
                <c:pt idx="3">
                  <c:v>FX (Local Currency Basket)</c:v>
                </c:pt>
              </c:strCache>
            </c:strRef>
          </c:cat>
          <c:val>
            <c:numRef>
              <c:f>'Sensitivity Analysis'!$B$14:$B$17</c:f>
              <c:numCache>
                <c:formatCode>\$0.00</c:formatCode>
                <c:ptCount val="4"/>
                <c:pt idx="0">
                  <c:v>-1.8456629894008219</c:v>
                </c:pt>
                <c:pt idx="1">
                  <c:v>-1.8456629894008219</c:v>
                </c:pt>
                <c:pt idx="2">
                  <c:v>-1.8456629894008219</c:v>
                </c:pt>
                <c:pt idx="3">
                  <c:v>-1.8456629894008219</c:v>
                </c:pt>
              </c:numCache>
            </c:numRef>
          </c:val>
          <c:extLst>
            <c:ext xmlns:c16="http://schemas.microsoft.com/office/drawing/2014/chart" uri="{C3380CC4-5D6E-409C-BE32-E72D297353CC}">
              <c16:uniqueId val="{00000000-461E-4970-A88D-C18BB783FB6B}"/>
            </c:ext>
          </c:extLst>
        </c:ser>
        <c:ser>
          <c:idx val="1"/>
          <c:order val="1"/>
          <c:tx>
            <c:strRef>
              <c:f>'Sensitivity Analysis'!$D$13</c:f>
              <c:strCache>
                <c:ptCount val="1"/>
                <c:pt idx="0">
                  <c:v>High Case ($)</c:v>
                </c:pt>
              </c:strCache>
            </c:strRef>
          </c:tx>
          <c:spPr>
            <a:solidFill>
              <a:srgbClr val="B08D5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'Sensitivity Analysis'!$A$14:$A$17</c:f>
              <c:strCache>
                <c:ptCount val="4"/>
                <c:pt idx="0">
                  <c:v>WACC (+/-2.0%)</c:v>
                </c:pt>
                <c:pt idx="1">
                  <c:v>Terminal Growth (+/-1.0%)</c:v>
                </c:pt>
                <c:pt idx="2">
                  <c:v>Digital Margin Assumption</c:v>
                </c:pt>
                <c:pt idx="3">
                  <c:v>FX (Local Currency Basket)</c:v>
                </c:pt>
              </c:strCache>
            </c:strRef>
          </c:cat>
          <c:val>
            <c:numRef>
              <c:f>'Sensitivity Analysis'!$D$14:$D$17</c:f>
              <c:numCache>
                <c:formatCode>\$0.00</c:formatCode>
                <c:ptCount val="4"/>
                <c:pt idx="0">
                  <c:v>-1.8456629894008219</c:v>
                </c:pt>
                <c:pt idx="1">
                  <c:v>-1.8456629894008219</c:v>
                </c:pt>
                <c:pt idx="2">
                  <c:v>-1.8456629894008219</c:v>
                </c:pt>
                <c:pt idx="3">
                  <c:v>-1.8456629894008219</c:v>
                </c:pt>
              </c:numCache>
            </c:numRef>
          </c:val>
          <c:extLst>
            <c:ext xmlns:c16="http://schemas.microsoft.com/office/drawing/2014/chart" uri="{C3380CC4-5D6E-409C-BE32-E72D297353CC}">
              <c16:uniqueId val="{00000001-461E-4970-A88D-C18BB783FB6B}"/>
            </c:ext>
          </c:extLst>
        </c:ser>
        <c:dLbls>
          <c:showLegendKey val="0"/>
          <c:showVal val="0"/>
          <c:showCatName val="0"/>
          <c:showSerName val="0"/>
          <c:showPercent val="0"/>
          <c:showBubbleSize val="0"/>
        </c:dLbls>
        <c:gapWidth val="150"/>
        <c:axId val="27149524"/>
        <c:axId val="64978222"/>
      </c:barChart>
      <c:catAx>
        <c:axId val="2714952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978222"/>
        <c:crosses val="autoZero"/>
        <c:auto val="1"/>
        <c:lblAlgn val="ctr"/>
        <c:lblOffset val="100"/>
        <c:noMultiLvlLbl val="0"/>
      </c:catAx>
      <c:valAx>
        <c:axId val="64978222"/>
        <c:scaling>
          <c:orientation val="minMax"/>
        </c:scaling>
        <c:delete val="0"/>
        <c:axPos val="b"/>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14952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Trend (FY21A-FY25A)</a:t>
            </a:r>
          </a:p>
        </c:rich>
      </c:tx>
      <c:overlay val="0"/>
      <c:spPr>
        <a:noFill/>
        <a:ln w="0">
          <a:noFill/>
        </a:ln>
      </c:spPr>
    </c:title>
    <c:autoTitleDeleted val="0"/>
    <c:plotArea>
      <c:layout/>
      <c:barChart>
        <c:barDir val="col"/>
        <c:grouping val="clustered"/>
        <c:varyColors val="0"/>
        <c:ser>
          <c:idx val="0"/>
          <c:order val="0"/>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Statements'!$B$5</c:f>
              <c:numCache>
                <c:formatCode>#,##0</c:formatCode>
                <c:ptCount val="1"/>
                <c:pt idx="0">
                  <c:v>3850</c:v>
                </c:pt>
              </c:numCache>
            </c:numRef>
          </c:val>
          <c:extLst>
            <c:ext xmlns:c16="http://schemas.microsoft.com/office/drawing/2014/chart" uri="{C3380CC4-5D6E-409C-BE32-E72D297353CC}">
              <c16:uniqueId val="{00000000-8D3B-4B4D-B2E7-333F784DCC36}"/>
            </c:ext>
          </c:extLst>
        </c:ser>
        <c:ser>
          <c:idx val="1"/>
          <c:order val="1"/>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Statements'!$C$5</c:f>
              <c:numCache>
                <c:formatCode>#,##0</c:formatCode>
                <c:ptCount val="1"/>
                <c:pt idx="0">
                  <c:v>3755</c:v>
                </c:pt>
              </c:numCache>
            </c:numRef>
          </c:val>
          <c:extLst>
            <c:ext xmlns:c16="http://schemas.microsoft.com/office/drawing/2014/chart" uri="{C3380CC4-5D6E-409C-BE32-E72D297353CC}">
              <c16:uniqueId val="{00000001-8D3B-4B4D-B2E7-333F784DCC36}"/>
            </c:ext>
          </c:extLst>
        </c:ser>
        <c:ser>
          <c:idx val="2"/>
          <c:order val="2"/>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Statements'!$D$5</c:f>
              <c:numCache>
                <c:formatCode>#,##0</c:formatCode>
                <c:ptCount val="1"/>
                <c:pt idx="0">
                  <c:v>3698</c:v>
                </c:pt>
              </c:numCache>
            </c:numRef>
          </c:val>
          <c:extLst>
            <c:ext xmlns:c16="http://schemas.microsoft.com/office/drawing/2014/chart" uri="{C3380CC4-5D6E-409C-BE32-E72D297353CC}">
              <c16:uniqueId val="{00000002-8D3B-4B4D-B2E7-333F784DCC36}"/>
            </c:ext>
          </c:extLst>
        </c:ser>
        <c:ser>
          <c:idx val="3"/>
          <c:order val="3"/>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Statements'!$E$5</c:f>
              <c:numCache>
                <c:formatCode>#,##0</c:formatCode>
                <c:ptCount val="1"/>
                <c:pt idx="0">
                  <c:v>4004</c:v>
                </c:pt>
              </c:numCache>
            </c:numRef>
          </c:val>
          <c:extLst>
            <c:ext xmlns:c16="http://schemas.microsoft.com/office/drawing/2014/chart" uri="{C3380CC4-5D6E-409C-BE32-E72D297353CC}">
              <c16:uniqueId val="{00000003-8D3B-4B4D-B2E7-333F784DCC36}"/>
            </c:ext>
          </c:extLst>
        </c:ser>
        <c:ser>
          <c:idx val="4"/>
          <c:order val="4"/>
          <c:spPr>
            <a:solidFill>
              <a:srgbClr val="4BACC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Statements'!$F$5</c:f>
              <c:numCache>
                <c:formatCode>#,##0</c:formatCode>
                <c:ptCount val="1"/>
                <c:pt idx="0">
                  <c:v>4399</c:v>
                </c:pt>
              </c:numCache>
            </c:numRef>
          </c:val>
          <c:extLst>
            <c:ext xmlns:c16="http://schemas.microsoft.com/office/drawing/2014/chart" uri="{C3380CC4-5D6E-409C-BE32-E72D297353CC}">
              <c16:uniqueId val="{00000004-8D3B-4B4D-B2E7-333F784DCC36}"/>
            </c:ext>
          </c:extLst>
        </c:ser>
        <c:dLbls>
          <c:showLegendKey val="0"/>
          <c:showVal val="0"/>
          <c:showCatName val="0"/>
          <c:showSerName val="0"/>
          <c:showPercent val="0"/>
          <c:showBubbleSize val="0"/>
        </c:dLbls>
        <c:gapWidth val="150"/>
        <c:axId val="75351025"/>
        <c:axId val="36699967"/>
      </c:barChart>
      <c:catAx>
        <c:axId val="753510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699967"/>
        <c:crosses val="autoZero"/>
        <c:auto val="1"/>
        <c:lblAlgn val="ctr"/>
        <c:lblOffset val="100"/>
        <c:noMultiLvlLbl val="0"/>
      </c:catAx>
      <c:valAx>
        <c:axId val="3669996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35102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EBITDA &amp; Margin Trend</a:t>
            </a:r>
          </a:p>
        </c:rich>
      </c:tx>
      <c:overlay val="0"/>
      <c:spPr>
        <a:noFill/>
        <a:ln w="0">
          <a:noFill/>
        </a:ln>
      </c:spPr>
    </c:title>
    <c:autoTitleDeleted val="0"/>
    <c:plotArea>
      <c:layout/>
      <c:barChart>
        <c:barDir val="col"/>
        <c:grouping val="clustered"/>
        <c:varyColors val="0"/>
        <c:ser>
          <c:idx val="0"/>
          <c:order val="0"/>
          <c:spPr>
            <a:solidFill>
              <a:srgbClr val="B08D5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Statements'!$B$7</c:f>
              <c:numCache>
                <c:formatCode>#,##0</c:formatCode>
                <c:ptCount val="1"/>
                <c:pt idx="0">
                  <c:v>1840</c:v>
                </c:pt>
              </c:numCache>
            </c:numRef>
          </c:val>
          <c:extLst>
            <c:ext xmlns:c16="http://schemas.microsoft.com/office/drawing/2014/chart" uri="{C3380CC4-5D6E-409C-BE32-E72D297353CC}">
              <c16:uniqueId val="{00000000-B5EF-40AE-9344-5AAA4BC34411}"/>
            </c:ext>
          </c:extLst>
        </c:ser>
        <c:ser>
          <c:idx val="1"/>
          <c:order val="1"/>
          <c:spPr>
            <a:solidFill>
              <a:srgbClr val="AB474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Statements'!$C$7</c:f>
              <c:numCache>
                <c:formatCode>#,##0</c:formatCode>
                <c:ptCount val="1"/>
                <c:pt idx="0">
                  <c:v>1747</c:v>
                </c:pt>
              </c:numCache>
            </c:numRef>
          </c:val>
          <c:extLst>
            <c:ext xmlns:c16="http://schemas.microsoft.com/office/drawing/2014/chart" uri="{C3380CC4-5D6E-409C-BE32-E72D297353CC}">
              <c16:uniqueId val="{00000001-B5EF-40AE-9344-5AAA4BC34411}"/>
            </c:ext>
          </c:extLst>
        </c:ser>
        <c:ser>
          <c:idx val="2"/>
          <c:order val="2"/>
          <c:spPr>
            <a:solidFill>
              <a:srgbClr val="8AA64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Statements'!$D$7</c:f>
              <c:numCache>
                <c:formatCode>#,##0</c:formatCode>
                <c:ptCount val="1"/>
                <c:pt idx="0">
                  <c:v>1612</c:v>
                </c:pt>
              </c:numCache>
            </c:numRef>
          </c:val>
          <c:extLst>
            <c:ext xmlns:c16="http://schemas.microsoft.com/office/drawing/2014/chart" uri="{C3380CC4-5D6E-409C-BE32-E72D297353CC}">
              <c16:uniqueId val="{00000002-B5EF-40AE-9344-5AAA4BC34411}"/>
            </c:ext>
          </c:extLst>
        </c:ser>
        <c:ser>
          <c:idx val="3"/>
          <c:order val="3"/>
          <c:spPr>
            <a:solidFill>
              <a:srgbClr val="72599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Statements'!$E$7</c:f>
              <c:numCache>
                <c:formatCode>#,##0</c:formatCode>
                <c:ptCount val="1"/>
                <c:pt idx="0">
                  <c:v>1691</c:v>
                </c:pt>
              </c:numCache>
            </c:numRef>
          </c:val>
          <c:extLst>
            <c:ext xmlns:c16="http://schemas.microsoft.com/office/drawing/2014/chart" uri="{C3380CC4-5D6E-409C-BE32-E72D297353CC}">
              <c16:uniqueId val="{00000003-B5EF-40AE-9344-5AAA4BC34411}"/>
            </c:ext>
          </c:extLst>
        </c:ser>
        <c:ser>
          <c:idx val="4"/>
          <c:order val="4"/>
          <c:spPr>
            <a:solidFill>
              <a:srgbClr val="4299B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Statements'!$F$7</c:f>
              <c:numCache>
                <c:formatCode>#,##0</c:formatCode>
                <c:ptCount val="1"/>
                <c:pt idx="0">
                  <c:v>2009</c:v>
                </c:pt>
              </c:numCache>
            </c:numRef>
          </c:val>
          <c:extLst>
            <c:ext xmlns:c16="http://schemas.microsoft.com/office/drawing/2014/chart" uri="{C3380CC4-5D6E-409C-BE32-E72D297353CC}">
              <c16:uniqueId val="{00000004-B5EF-40AE-9344-5AAA4BC34411}"/>
            </c:ext>
          </c:extLst>
        </c:ser>
        <c:dLbls>
          <c:showLegendKey val="0"/>
          <c:showVal val="0"/>
          <c:showCatName val="0"/>
          <c:showSerName val="0"/>
          <c:showPercent val="0"/>
          <c:showBubbleSize val="0"/>
        </c:dLbls>
        <c:gapWidth val="150"/>
        <c:axId val="9578388"/>
        <c:axId val="1185712"/>
      </c:barChart>
      <c:lineChart>
        <c:grouping val="standard"/>
        <c:varyColors val="0"/>
        <c:ser>
          <c:idx val="5"/>
          <c:order val="5"/>
          <c:spPr>
            <a:ln w="20160">
              <a:solidFill>
                <a:srgbClr val="A9444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Statements'!$B$8</c:f>
              <c:numCache>
                <c:formatCode>0.0%</c:formatCode>
                <c:ptCount val="1"/>
                <c:pt idx="0">
                  <c:v>0.47792207792207791</c:v>
                </c:pt>
              </c:numCache>
            </c:numRef>
          </c:val>
          <c:smooth val="1"/>
          <c:extLst>
            <c:ext xmlns:c16="http://schemas.microsoft.com/office/drawing/2014/chart" uri="{C3380CC4-5D6E-409C-BE32-E72D297353CC}">
              <c16:uniqueId val="{00000005-B5EF-40AE-9344-5AAA4BC34411}"/>
            </c:ext>
          </c:extLst>
        </c:ser>
        <c:ser>
          <c:idx val="6"/>
          <c:order val="6"/>
          <c:spPr>
            <a:ln w="28440">
              <a:solidFill>
                <a:srgbClr val="8EA5C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Statements'!$C$8</c:f>
              <c:numCache>
                <c:formatCode>0.0%</c:formatCode>
                <c:ptCount val="1"/>
                <c:pt idx="0">
                  <c:v>0.46524633821571237</c:v>
                </c:pt>
              </c:numCache>
            </c:numRef>
          </c:val>
          <c:smooth val="1"/>
          <c:extLst>
            <c:ext xmlns:c16="http://schemas.microsoft.com/office/drawing/2014/chart" uri="{C3380CC4-5D6E-409C-BE32-E72D297353CC}">
              <c16:uniqueId val="{00000006-B5EF-40AE-9344-5AAA4BC34411}"/>
            </c:ext>
          </c:extLst>
        </c:ser>
        <c:ser>
          <c:idx val="7"/>
          <c:order val="7"/>
          <c:spPr>
            <a:ln w="28440">
              <a:solidFill>
                <a:srgbClr val="CC8F8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Statements'!$D$8</c:f>
              <c:numCache>
                <c:formatCode>0.0%</c:formatCode>
                <c:ptCount val="1"/>
                <c:pt idx="0">
                  <c:v>0.43591130340724715</c:v>
                </c:pt>
              </c:numCache>
            </c:numRef>
          </c:val>
          <c:smooth val="1"/>
          <c:extLst>
            <c:ext xmlns:c16="http://schemas.microsoft.com/office/drawing/2014/chart" uri="{C3380CC4-5D6E-409C-BE32-E72D297353CC}">
              <c16:uniqueId val="{00000007-B5EF-40AE-9344-5AAA4BC34411}"/>
            </c:ext>
          </c:extLst>
        </c:ser>
        <c:ser>
          <c:idx val="8"/>
          <c:order val="8"/>
          <c:spPr>
            <a:ln w="28440">
              <a:solidFill>
                <a:srgbClr val="B3C99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Statements'!$E$8</c:f>
              <c:numCache>
                <c:formatCode>0.0%</c:formatCode>
                <c:ptCount val="1"/>
                <c:pt idx="0">
                  <c:v>0.42232767232767232</c:v>
                </c:pt>
              </c:numCache>
            </c:numRef>
          </c:val>
          <c:smooth val="1"/>
          <c:extLst>
            <c:ext xmlns:c16="http://schemas.microsoft.com/office/drawing/2014/chart" uri="{C3380CC4-5D6E-409C-BE32-E72D297353CC}">
              <c16:uniqueId val="{00000008-B5EF-40AE-9344-5AAA4BC34411}"/>
            </c:ext>
          </c:extLst>
        </c:ser>
        <c:ser>
          <c:idx val="9"/>
          <c:order val="9"/>
          <c:spPr>
            <a:ln w="28440">
              <a:solidFill>
                <a:srgbClr val="A596B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Statements'!$F$8</c:f>
              <c:numCache>
                <c:formatCode>0.0%</c:formatCode>
                <c:ptCount val="1"/>
                <c:pt idx="0">
                  <c:v>0.45669470334166856</c:v>
                </c:pt>
              </c:numCache>
            </c:numRef>
          </c:val>
          <c:smooth val="1"/>
          <c:extLst>
            <c:ext xmlns:c16="http://schemas.microsoft.com/office/drawing/2014/chart" uri="{C3380CC4-5D6E-409C-BE32-E72D297353CC}">
              <c16:uniqueId val="{00000009-B5EF-40AE-9344-5AAA4BC34411}"/>
            </c:ext>
          </c:extLst>
        </c:ser>
        <c:dLbls>
          <c:showLegendKey val="0"/>
          <c:showVal val="0"/>
          <c:showCatName val="0"/>
          <c:showSerName val="0"/>
          <c:showPercent val="0"/>
          <c:showBubbleSize val="0"/>
        </c:dLbls>
        <c:hiLowLines>
          <c:spPr>
            <a:ln w="0">
              <a:noFill/>
            </a:ln>
          </c:spPr>
        </c:hiLowLines>
        <c:marker val="1"/>
        <c:smooth val="0"/>
        <c:axId val="34429418"/>
        <c:axId val="68224441"/>
      </c:lineChart>
      <c:catAx>
        <c:axId val="95783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85712"/>
        <c:crosses val="autoZero"/>
        <c:auto val="1"/>
        <c:lblAlgn val="ctr"/>
        <c:lblOffset val="100"/>
        <c:noMultiLvlLbl val="0"/>
      </c:catAx>
      <c:valAx>
        <c:axId val="1185712"/>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78388"/>
        <c:crosses val="autoZero"/>
        <c:crossBetween val="between"/>
      </c:valAx>
      <c:catAx>
        <c:axId val="344294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224441"/>
        <c:crosses val="autoZero"/>
        <c:auto val="1"/>
        <c:lblAlgn val="ctr"/>
        <c:lblOffset val="100"/>
        <c:noMultiLvlLbl val="0"/>
      </c:catAx>
      <c:valAx>
        <c:axId val="68224441"/>
        <c:scaling>
          <c:orientation val="minMax"/>
        </c:scaling>
        <c:delete val="0"/>
        <c:axPos val="r"/>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429418"/>
        <c:crosses val="max"/>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Free Cash Flow Trend</a:t>
            </a:r>
          </a:p>
        </c:rich>
      </c:tx>
      <c:overlay val="0"/>
      <c:spPr>
        <a:noFill/>
        <a:ln w="0">
          <a:noFill/>
        </a:ln>
      </c:spPr>
    </c:title>
    <c:autoTitleDeleted val="0"/>
    <c:plotArea>
      <c:layout/>
      <c:barChart>
        <c:barDir val="col"/>
        <c:grouping val="clustered"/>
        <c:varyColors val="0"/>
        <c:ser>
          <c:idx val="0"/>
          <c:order val="0"/>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Statements'!$B$15</c:f>
              <c:numCache>
                <c:formatCode>#,##0</c:formatCode>
                <c:ptCount val="1"/>
                <c:pt idx="0">
                  <c:v>1939</c:v>
                </c:pt>
              </c:numCache>
            </c:numRef>
          </c:val>
          <c:extLst>
            <c:ext xmlns:c16="http://schemas.microsoft.com/office/drawing/2014/chart" uri="{C3380CC4-5D6E-409C-BE32-E72D297353CC}">
              <c16:uniqueId val="{00000000-347B-46A2-8A04-908AA35B5B2A}"/>
            </c:ext>
          </c:extLst>
        </c:ser>
        <c:ser>
          <c:idx val="1"/>
          <c:order val="1"/>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Statements'!$C$15</c:f>
              <c:numCache>
                <c:formatCode>#,##0</c:formatCode>
                <c:ptCount val="1"/>
                <c:pt idx="0">
                  <c:v>1923</c:v>
                </c:pt>
              </c:numCache>
            </c:numRef>
          </c:val>
          <c:extLst>
            <c:ext xmlns:c16="http://schemas.microsoft.com/office/drawing/2014/chart" uri="{C3380CC4-5D6E-409C-BE32-E72D297353CC}">
              <c16:uniqueId val="{00000001-347B-46A2-8A04-908AA35B5B2A}"/>
            </c:ext>
          </c:extLst>
        </c:ser>
        <c:ser>
          <c:idx val="2"/>
          <c:order val="2"/>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Statements'!$D$15</c:f>
              <c:numCache>
                <c:formatCode>#,##0</c:formatCode>
                <c:ptCount val="1"/>
                <c:pt idx="0">
                  <c:v>1580</c:v>
                </c:pt>
              </c:numCache>
            </c:numRef>
          </c:val>
          <c:extLst>
            <c:ext xmlns:c16="http://schemas.microsoft.com/office/drawing/2014/chart" uri="{C3380CC4-5D6E-409C-BE32-E72D297353CC}">
              <c16:uniqueId val="{00000002-347B-46A2-8A04-908AA35B5B2A}"/>
            </c:ext>
          </c:extLst>
        </c:ser>
        <c:ser>
          <c:idx val="3"/>
          <c:order val="3"/>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Statements'!$E$15</c:f>
              <c:numCache>
                <c:formatCode>#,##0</c:formatCode>
                <c:ptCount val="1"/>
                <c:pt idx="0">
                  <c:v>523</c:v>
                </c:pt>
              </c:numCache>
            </c:numRef>
          </c:val>
          <c:extLst>
            <c:ext xmlns:c16="http://schemas.microsoft.com/office/drawing/2014/chart" uri="{C3380CC4-5D6E-409C-BE32-E72D297353CC}">
              <c16:uniqueId val="{00000003-347B-46A2-8A04-908AA35B5B2A}"/>
            </c:ext>
          </c:extLst>
        </c:ser>
        <c:ser>
          <c:idx val="4"/>
          <c:order val="4"/>
          <c:spPr>
            <a:solidFill>
              <a:srgbClr val="4BACC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'Historical Financial Statements'!$B$3:$F$3</c:f>
              <c:strCache>
                <c:ptCount val="5"/>
                <c:pt idx="0">
                  <c:v>FY2021</c:v>
                </c:pt>
                <c:pt idx="1">
                  <c:v>FY2022</c:v>
                </c:pt>
                <c:pt idx="2">
                  <c:v>FY2023</c:v>
                </c:pt>
                <c:pt idx="3">
                  <c:v>FY2024</c:v>
                </c:pt>
                <c:pt idx="4">
                  <c:v>FY2025</c:v>
                </c:pt>
              </c:strCache>
            </c:strRef>
          </c:cat>
          <c:val>
            <c:numRef>
              <c:f>'Historical Financial Statements'!$F$15</c:f>
              <c:numCache>
                <c:formatCode>#,##0</c:formatCode>
                <c:ptCount val="1"/>
                <c:pt idx="0">
                  <c:v>620</c:v>
                </c:pt>
              </c:numCache>
            </c:numRef>
          </c:val>
          <c:extLst>
            <c:ext xmlns:c16="http://schemas.microsoft.com/office/drawing/2014/chart" uri="{C3380CC4-5D6E-409C-BE32-E72D297353CC}">
              <c16:uniqueId val="{00000004-347B-46A2-8A04-908AA35B5B2A}"/>
            </c:ext>
          </c:extLst>
        </c:ser>
        <c:dLbls>
          <c:showLegendKey val="0"/>
          <c:showVal val="0"/>
          <c:showCatName val="0"/>
          <c:showSerName val="0"/>
          <c:showPercent val="0"/>
          <c:showBubbleSize val="0"/>
        </c:dLbls>
        <c:gapWidth val="150"/>
        <c:axId val="29802243"/>
        <c:axId val="11375746"/>
      </c:barChart>
      <c:catAx>
        <c:axId val="298022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375746"/>
        <c:crosses val="autoZero"/>
        <c:auto val="1"/>
        <c:lblAlgn val="ctr"/>
        <c:lblOffset val="100"/>
        <c:noMultiLvlLbl val="0"/>
      </c:catAx>
      <c:valAx>
        <c:axId val="1137574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8022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FY2025 Revenue by Geography</a:t>
            </a:r>
          </a:p>
        </c:rich>
      </c:tx>
      <c:overlay val="0"/>
      <c:spPr>
        <a:noFill/>
        <a:ln w="0">
          <a:noFill/>
        </a:ln>
      </c:spPr>
    </c:title>
    <c:autoTitleDeleted val="0"/>
    <c:plotArea>
      <c:layout/>
      <c:pieChart>
        <c:varyColors val="1"/>
        <c:ser>
          <c:idx val="0"/>
          <c:order val="0"/>
          <c:spPr>
            <a:solidFill>
              <a:srgbClr val="4F81BD"/>
            </a:solidFill>
            <a:ln w="0">
              <a:noFill/>
            </a:ln>
          </c:spPr>
          <c:dPt>
            <c:idx val="0"/>
            <c:bubble3D val="0"/>
            <c:spPr>
              <a:solidFill>
                <a:srgbClr val="1B2A4A"/>
              </a:solidFill>
              <a:ln w="0">
                <a:noFill/>
              </a:ln>
            </c:spPr>
            <c:extLst>
              <c:ext xmlns:c16="http://schemas.microsoft.com/office/drawing/2014/chart" uri="{C3380CC4-5D6E-409C-BE32-E72D297353CC}">
                <c16:uniqueId val="{00000001-D79F-42F8-802B-DF29ACD51C65}"/>
              </c:ext>
            </c:extLst>
          </c:dPt>
          <c:dPt>
            <c:idx val="1"/>
            <c:bubble3D val="0"/>
            <c:spPr>
              <a:solidFill>
                <a:srgbClr val="4C6FA5"/>
              </a:solidFill>
              <a:ln w="0">
                <a:noFill/>
              </a:ln>
            </c:spPr>
            <c:extLst>
              <c:ext xmlns:c16="http://schemas.microsoft.com/office/drawing/2014/chart" uri="{C3380CC4-5D6E-409C-BE32-E72D297353CC}">
                <c16:uniqueId val="{00000003-D79F-42F8-802B-DF29ACD51C65}"/>
              </c:ext>
            </c:extLst>
          </c:dPt>
          <c:dPt>
            <c:idx val="2"/>
            <c:bubble3D val="0"/>
            <c:spPr>
              <a:solidFill>
                <a:srgbClr val="B08D57"/>
              </a:solidFill>
              <a:ln w="0">
                <a:noFill/>
              </a:ln>
            </c:spPr>
            <c:extLst>
              <c:ext xmlns:c16="http://schemas.microsoft.com/office/drawing/2014/chart" uri="{C3380CC4-5D6E-409C-BE32-E72D297353CC}">
                <c16:uniqueId val="{00000005-D79F-42F8-802B-DF29ACD51C65}"/>
              </c:ext>
            </c:extLst>
          </c:dPt>
          <c:dPt>
            <c:idx val="3"/>
            <c:bubble3D val="0"/>
            <c:spPr>
              <a:solidFill>
                <a:srgbClr val="7A8B99"/>
              </a:solidFill>
              <a:ln w="0">
                <a:noFill/>
              </a:ln>
            </c:spPr>
            <c:extLst>
              <c:ext xmlns:c16="http://schemas.microsoft.com/office/drawing/2014/chart" uri="{C3380CC4-5D6E-409C-BE32-E72D297353CC}">
                <c16:uniqueId val="{00000007-D79F-42F8-802B-DF29ACD51C65}"/>
              </c:ext>
            </c:extLst>
          </c:dPt>
          <c:dPt>
            <c:idx val="4"/>
            <c:bubble3D val="0"/>
            <c:spPr>
              <a:solidFill>
                <a:srgbClr val="C7A15A"/>
              </a:solidFill>
              <a:ln w="0">
                <a:noFill/>
              </a:ln>
            </c:spPr>
            <c:extLst>
              <c:ext xmlns:c16="http://schemas.microsoft.com/office/drawing/2014/chart" uri="{C3380CC4-5D6E-409C-BE32-E72D297353CC}">
                <c16:uniqueId val="{00000009-D79F-42F8-802B-DF29ACD51C65}"/>
              </c:ext>
            </c:extLst>
          </c:dPt>
          <c:dPt>
            <c:idx val="5"/>
            <c:bubble3D val="0"/>
            <c:spPr>
              <a:solidFill>
                <a:srgbClr val="D9D9D9"/>
              </a:solidFill>
              <a:ln w="0">
                <a:noFill/>
              </a:ln>
            </c:spPr>
            <c:extLst>
              <c:ext xmlns:c16="http://schemas.microsoft.com/office/drawing/2014/chart" uri="{C3380CC4-5D6E-409C-BE32-E72D297353CC}">
                <c16:uniqueId val="{0000000B-D79F-42F8-802B-DF29ACD51C65}"/>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D79F-42F8-802B-DF29ACD51C65}"/>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D79F-42F8-802B-DF29ACD51C65}"/>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D79F-42F8-802B-DF29ACD51C65}"/>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D79F-42F8-802B-DF29ACD51C65}"/>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D79F-42F8-802B-DF29ACD51C65}"/>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D79F-42F8-802B-DF29ACD51C65}"/>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'Revenue Forecast'!$A$3:$A$8</c:f>
              <c:strCache>
                <c:ptCount val="6"/>
                <c:pt idx="0">
                  <c:v>Pakistan</c:v>
                </c:pt>
                <c:pt idx="1">
                  <c:v>Ukraine</c:v>
                </c:pt>
                <c:pt idx="2">
                  <c:v>Kazakhstan</c:v>
                </c:pt>
                <c:pt idx="3">
                  <c:v>Bangladesh</c:v>
                </c:pt>
                <c:pt idx="4">
                  <c:v>Uzbekistan</c:v>
                </c:pt>
                <c:pt idx="5">
                  <c:v>Other / HQ</c:v>
                </c:pt>
              </c:strCache>
            </c:strRef>
          </c:cat>
          <c:val>
            <c:numRef>
              <c:f>'Revenue Forecast'!$B$3:$B$8</c:f>
              <c:numCache>
                <c:formatCode>#,##0</c:formatCode>
                <c:ptCount val="6"/>
                <c:pt idx="0">
                  <c:v>1624</c:v>
                </c:pt>
                <c:pt idx="1">
                  <c:v>1164</c:v>
                </c:pt>
                <c:pt idx="2">
                  <c:v>816</c:v>
                </c:pt>
                <c:pt idx="3">
                  <c:v>460</c:v>
                </c:pt>
                <c:pt idx="4">
                  <c:v>308</c:v>
                </c:pt>
                <c:pt idx="5">
                  <c:v>27</c:v>
                </c:pt>
              </c:numCache>
            </c:numRef>
          </c:val>
          <c:extLst>
            <c:ext xmlns:c16="http://schemas.microsoft.com/office/drawing/2014/chart" uri="{C3380CC4-5D6E-409C-BE32-E72D297353CC}">
              <c16:uniqueId val="{0000000C-D79F-42F8-802B-DF29ACD51C65}"/>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12-Month Share Price (input required)</a:t>
            </a:r>
          </a:p>
        </c:rich>
      </c:tx>
      <c:overlay val="0"/>
      <c:spPr>
        <a:noFill/>
        <a:ln w="0">
          <a:noFill/>
        </a:ln>
      </c:spPr>
    </c:title>
    <c:autoTitleDeleted val="0"/>
    <c:plotArea>
      <c:layout/>
      <c:lineChart>
        <c:grouping val="standard"/>
        <c:varyColors val="0"/>
        <c:ser>
          <c:idx val="0"/>
          <c:order val="0"/>
          <c:spPr>
            <a:ln w="28440">
              <a:solidFill>
                <a:srgbClr val="1B2A4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Dashboard'!$B$46</c:f>
              <c:numCache>
                <c:formatCode>General</c:formatCode>
                <c:ptCount val="1"/>
              </c:numCache>
            </c:numRef>
          </c:val>
          <c:smooth val="1"/>
          <c:extLst>
            <c:ext xmlns:c16="http://schemas.microsoft.com/office/drawing/2014/chart" uri="{C3380CC4-5D6E-409C-BE32-E72D297353CC}">
              <c16:uniqueId val="{00000000-0C2D-43A4-BFB2-E017B601B36F}"/>
            </c:ext>
          </c:extLst>
        </c:ser>
        <c:ser>
          <c:idx val="1"/>
          <c:order val="1"/>
          <c:spPr>
            <a:ln w="28440">
              <a:solidFill>
                <a:srgbClr val="AA433F"/>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Dashboard'!$C$46</c:f>
              <c:numCache>
                <c:formatCode>General</c:formatCode>
                <c:ptCount val="1"/>
              </c:numCache>
            </c:numRef>
          </c:val>
          <c:smooth val="1"/>
          <c:extLst>
            <c:ext xmlns:c16="http://schemas.microsoft.com/office/drawing/2014/chart" uri="{C3380CC4-5D6E-409C-BE32-E72D297353CC}">
              <c16:uniqueId val="{00000001-0C2D-43A4-BFB2-E017B601B36F}"/>
            </c:ext>
          </c:extLst>
        </c:ser>
        <c:ser>
          <c:idx val="2"/>
          <c:order val="2"/>
          <c:spPr>
            <a:ln w="28440">
              <a:solidFill>
                <a:srgbClr val="87A44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Dashboard'!$D$46</c:f>
              <c:numCache>
                <c:formatCode>General</c:formatCode>
                <c:ptCount val="1"/>
              </c:numCache>
            </c:numRef>
          </c:val>
          <c:smooth val="1"/>
          <c:extLst>
            <c:ext xmlns:c16="http://schemas.microsoft.com/office/drawing/2014/chart" uri="{C3380CC4-5D6E-409C-BE32-E72D297353CC}">
              <c16:uniqueId val="{00000002-0C2D-43A4-BFB2-E017B601B36F}"/>
            </c:ext>
          </c:extLst>
        </c:ser>
        <c:ser>
          <c:idx val="3"/>
          <c:order val="3"/>
          <c:spPr>
            <a:ln w="28440">
              <a:solidFill>
                <a:srgbClr val="6F568D"/>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Dashboard'!$E$46</c:f>
              <c:numCache>
                <c:formatCode>General</c:formatCode>
                <c:ptCount val="1"/>
              </c:numCache>
            </c:numRef>
          </c:val>
          <c:smooth val="1"/>
          <c:extLst>
            <c:ext xmlns:c16="http://schemas.microsoft.com/office/drawing/2014/chart" uri="{C3380CC4-5D6E-409C-BE32-E72D297353CC}">
              <c16:uniqueId val="{00000003-0C2D-43A4-BFB2-E017B601B36F}"/>
            </c:ext>
          </c:extLst>
        </c:ser>
        <c:ser>
          <c:idx val="4"/>
          <c:order val="4"/>
          <c:spPr>
            <a:ln w="28440">
              <a:solidFill>
                <a:srgbClr val="3D97AF"/>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Dashboard'!$F$46</c:f>
              <c:numCache>
                <c:formatCode>General</c:formatCode>
                <c:ptCount val="1"/>
              </c:numCache>
            </c:numRef>
          </c:val>
          <c:smooth val="1"/>
          <c:extLst>
            <c:ext xmlns:c16="http://schemas.microsoft.com/office/drawing/2014/chart" uri="{C3380CC4-5D6E-409C-BE32-E72D297353CC}">
              <c16:uniqueId val="{00000004-0C2D-43A4-BFB2-E017B601B36F}"/>
            </c:ext>
          </c:extLst>
        </c:ser>
        <c:ser>
          <c:idx val="5"/>
          <c:order val="5"/>
          <c:spPr>
            <a:ln w="28440">
              <a:solidFill>
                <a:srgbClr val="DB823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Dashboard'!$G$46</c:f>
              <c:numCache>
                <c:formatCode>General</c:formatCode>
                <c:ptCount val="1"/>
              </c:numCache>
            </c:numRef>
          </c:val>
          <c:smooth val="1"/>
          <c:extLst>
            <c:ext xmlns:c16="http://schemas.microsoft.com/office/drawing/2014/chart" uri="{C3380CC4-5D6E-409C-BE32-E72D297353CC}">
              <c16:uniqueId val="{00000005-0C2D-43A4-BFB2-E017B601B36F}"/>
            </c:ext>
          </c:extLst>
        </c:ser>
        <c:ser>
          <c:idx val="6"/>
          <c:order val="6"/>
          <c:spPr>
            <a:ln w="28440">
              <a:solidFill>
                <a:srgbClr val="8EA5C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Dashboard'!$H$46</c:f>
              <c:numCache>
                <c:formatCode>General</c:formatCode>
                <c:ptCount val="1"/>
              </c:numCache>
            </c:numRef>
          </c:val>
          <c:smooth val="1"/>
          <c:extLst>
            <c:ext xmlns:c16="http://schemas.microsoft.com/office/drawing/2014/chart" uri="{C3380CC4-5D6E-409C-BE32-E72D297353CC}">
              <c16:uniqueId val="{00000006-0C2D-43A4-BFB2-E017B601B36F}"/>
            </c:ext>
          </c:extLst>
        </c:ser>
        <c:ser>
          <c:idx val="7"/>
          <c:order val="7"/>
          <c:spPr>
            <a:ln w="28440">
              <a:solidFill>
                <a:srgbClr val="CC8F8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Dashboard'!$I$46</c:f>
              <c:numCache>
                <c:formatCode>General</c:formatCode>
                <c:ptCount val="1"/>
              </c:numCache>
            </c:numRef>
          </c:val>
          <c:smooth val="1"/>
          <c:extLst>
            <c:ext xmlns:c16="http://schemas.microsoft.com/office/drawing/2014/chart" uri="{C3380CC4-5D6E-409C-BE32-E72D297353CC}">
              <c16:uniqueId val="{00000007-0C2D-43A4-BFB2-E017B601B36F}"/>
            </c:ext>
          </c:extLst>
        </c:ser>
        <c:ser>
          <c:idx val="8"/>
          <c:order val="8"/>
          <c:spPr>
            <a:ln w="28440">
              <a:solidFill>
                <a:srgbClr val="B3C99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Dashboard'!$J$46</c:f>
              <c:numCache>
                <c:formatCode>General</c:formatCode>
                <c:ptCount val="1"/>
              </c:numCache>
            </c:numRef>
          </c:val>
          <c:smooth val="1"/>
          <c:extLst>
            <c:ext xmlns:c16="http://schemas.microsoft.com/office/drawing/2014/chart" uri="{C3380CC4-5D6E-409C-BE32-E72D297353CC}">
              <c16:uniqueId val="{00000008-0C2D-43A4-BFB2-E017B601B36F}"/>
            </c:ext>
          </c:extLst>
        </c:ser>
        <c:ser>
          <c:idx val="9"/>
          <c:order val="9"/>
          <c:spPr>
            <a:ln w="28440">
              <a:solidFill>
                <a:srgbClr val="A596B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Dashboard'!$K$46</c:f>
              <c:numCache>
                <c:formatCode>General</c:formatCode>
                <c:ptCount val="1"/>
              </c:numCache>
            </c:numRef>
          </c:val>
          <c:smooth val="1"/>
          <c:extLst>
            <c:ext xmlns:c16="http://schemas.microsoft.com/office/drawing/2014/chart" uri="{C3380CC4-5D6E-409C-BE32-E72D297353CC}">
              <c16:uniqueId val="{00000009-0C2D-43A4-BFB2-E017B601B36F}"/>
            </c:ext>
          </c:extLst>
        </c:ser>
        <c:ser>
          <c:idx val="10"/>
          <c:order val="10"/>
          <c:spPr>
            <a:ln w="28440">
              <a:solidFill>
                <a:srgbClr val="8CBFD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Dashboard'!$L$46</c:f>
              <c:numCache>
                <c:formatCode>General</c:formatCode>
                <c:ptCount val="1"/>
              </c:numCache>
            </c:numRef>
          </c:val>
          <c:smooth val="1"/>
          <c:extLst>
            <c:ext xmlns:c16="http://schemas.microsoft.com/office/drawing/2014/chart" uri="{C3380CC4-5D6E-409C-BE32-E72D297353CC}">
              <c16:uniqueId val="{0000000A-0C2D-43A4-BFB2-E017B601B36F}"/>
            </c:ext>
          </c:extLst>
        </c:ser>
        <c:ser>
          <c:idx val="11"/>
          <c:order val="11"/>
          <c:spPr>
            <a:ln w="28440">
              <a:solidFill>
                <a:srgbClr val="F5B08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'Executive Dashboard'!$M$46</c:f>
              <c:numCache>
                <c:formatCode>General</c:formatCode>
                <c:ptCount val="1"/>
              </c:numCache>
            </c:numRef>
          </c:val>
          <c:smooth val="1"/>
          <c:extLst>
            <c:ext xmlns:c16="http://schemas.microsoft.com/office/drawing/2014/chart" uri="{C3380CC4-5D6E-409C-BE32-E72D297353CC}">
              <c16:uniqueId val="{0000000B-0C2D-43A4-BFB2-E017B601B36F}"/>
            </c:ext>
          </c:extLst>
        </c:ser>
        <c:dLbls>
          <c:showLegendKey val="0"/>
          <c:showVal val="0"/>
          <c:showCatName val="0"/>
          <c:showSerName val="0"/>
          <c:showPercent val="0"/>
          <c:showBubbleSize val="0"/>
        </c:dLbls>
        <c:hiLowLines>
          <c:spPr>
            <a:ln w="0">
              <a:noFill/>
            </a:ln>
          </c:spPr>
        </c:hiLowLines>
        <c:smooth val="0"/>
        <c:axId val="78713541"/>
        <c:axId val="93206339"/>
      </c:lineChart>
      <c:catAx>
        <c:axId val="787135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206339"/>
        <c:crosses val="autoZero"/>
        <c:auto val="1"/>
        <c:lblAlgn val="ctr"/>
        <c:lblOffset val="100"/>
        <c:noMultiLvlLbl val="0"/>
      </c:catAx>
      <c:valAx>
        <c:axId val="9320633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7135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Enterprise Value Bridge</a:t>
            </a:r>
          </a:p>
        </c:rich>
      </c:tx>
      <c:overlay val="0"/>
      <c:spPr>
        <a:noFill/>
        <a:ln w="0">
          <a:noFill/>
        </a:ln>
      </c:spPr>
    </c:title>
    <c:autoTitleDeleted val="0"/>
    <c:plotArea>
      <c:layout/>
      <c:barChart>
        <c:barDir val="col"/>
        <c:grouping val="stacked"/>
        <c:varyColors val="0"/>
        <c:ser>
          <c:idx val="0"/>
          <c:order val="0"/>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'DCF Valuation'!$A$27:$A$28</c:f>
              <c:strCache>
                <c:ptCount val="2"/>
                <c:pt idx="0">
                  <c:v>PV of Explicit FCF</c:v>
                </c:pt>
                <c:pt idx="1">
                  <c:v>PV of Terminal Value</c:v>
                </c:pt>
              </c:strCache>
            </c:strRef>
          </c:cat>
          <c:val>
            <c:numRef>
              <c:f>'DCF Valuation'!$B$27:$B$28</c:f>
              <c:numCache>
                <c:formatCode>#,##0</c:formatCode>
                <c:ptCount val="2"/>
                <c:pt idx="0">
                  <c:v>0</c:v>
                </c:pt>
                <c:pt idx="1">
                  <c:v>0</c:v>
                </c:pt>
              </c:numCache>
            </c:numRef>
          </c:val>
          <c:extLst>
            <c:ext xmlns:c16="http://schemas.microsoft.com/office/drawing/2014/chart" uri="{C3380CC4-5D6E-409C-BE32-E72D297353CC}">
              <c16:uniqueId val="{00000000-A10D-4177-AB1D-0FFFDF411225}"/>
            </c:ext>
          </c:extLst>
        </c:ser>
        <c:dLbls>
          <c:showLegendKey val="0"/>
          <c:showVal val="0"/>
          <c:showCatName val="0"/>
          <c:showSerName val="0"/>
          <c:showPercent val="0"/>
          <c:showBubbleSize val="0"/>
        </c:dLbls>
        <c:gapWidth val="150"/>
        <c:overlap val="100"/>
        <c:axId val="81800501"/>
        <c:axId val="69650064"/>
      </c:barChart>
      <c:catAx>
        <c:axId val="818005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650064"/>
        <c:crosses val="autoZero"/>
        <c:auto val="1"/>
        <c:lblAlgn val="ctr"/>
        <c:lblOffset val="100"/>
        <c:noMultiLvlLbl val="0"/>
      </c:catAx>
      <c:valAx>
        <c:axId val="6965006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8005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EV/EBITDA — Peer Comparison</a:t>
            </a:r>
          </a:p>
        </c:rich>
      </c:tx>
      <c:overlay val="0"/>
      <c:spPr>
        <a:noFill/>
        <a:ln w="0">
          <a:noFill/>
        </a:ln>
      </c:spPr>
    </c:title>
    <c:autoTitleDeleted val="0"/>
    <c:plotArea>
      <c:layout/>
      <c:barChart>
        <c:barDir val="bar"/>
        <c:grouping val="clustered"/>
        <c:varyColors val="0"/>
        <c:ser>
          <c:idx val="0"/>
          <c:order val="0"/>
          <c:spPr>
            <a:solidFill>
              <a:srgbClr val="D9D9D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'Trading Comparables'!$A$4:$A$12</c:f>
              <c:strCache>
                <c:ptCount val="9"/>
                <c:pt idx="0">
                  <c:v>Turkcell</c:v>
                </c:pt>
                <c:pt idx="1">
                  <c:v>MTN Group</c:v>
                </c:pt>
                <c:pt idx="2">
                  <c:v>Millicom</c:v>
                </c:pt>
                <c:pt idx="3">
                  <c:v>Ooredoo</c:v>
                </c:pt>
                <c:pt idx="4">
                  <c:v>Telenor</c:v>
                </c:pt>
                <c:pt idx="5">
                  <c:v>Axiata</c:v>
                </c:pt>
                <c:pt idx="6">
                  <c:v>e&amp;</c:v>
                </c:pt>
                <c:pt idx="7">
                  <c:v>Zain Group</c:v>
                </c:pt>
                <c:pt idx="8">
                  <c:v>VEON Ltd.</c:v>
                </c:pt>
              </c:strCache>
            </c:strRef>
          </c:cat>
          <c:val>
            <c:numRef>
              <c:f>'Trading Comparables'!$H$4:$H$12</c:f>
              <c:numCache>
                <c:formatCode>0.0\x</c:formatCode>
                <c:ptCount val="9"/>
                <c:pt idx="0">
                  <c:v>0</c:v>
                </c:pt>
                <c:pt idx="1">
                  <c:v>0</c:v>
                </c:pt>
                <c:pt idx="2">
                  <c:v>0</c:v>
                </c:pt>
                <c:pt idx="3">
                  <c:v>0</c:v>
                </c:pt>
                <c:pt idx="4">
                  <c:v>0</c:v>
                </c:pt>
                <c:pt idx="5">
                  <c:v>0</c:v>
                </c:pt>
                <c:pt idx="6">
                  <c:v>0</c:v>
                </c:pt>
                <c:pt idx="7">
                  <c:v>0</c:v>
                </c:pt>
                <c:pt idx="8">
                  <c:v>1.6988551518168242</c:v>
                </c:pt>
              </c:numCache>
            </c:numRef>
          </c:val>
          <c:extLst>
            <c:ext xmlns:c16="http://schemas.microsoft.com/office/drawing/2014/chart" uri="{C3380CC4-5D6E-409C-BE32-E72D297353CC}">
              <c16:uniqueId val="{00000000-F29A-4792-8F61-59273A352FC6}"/>
            </c:ext>
          </c:extLst>
        </c:ser>
        <c:dLbls>
          <c:showLegendKey val="0"/>
          <c:showVal val="0"/>
          <c:showCatName val="0"/>
          <c:showSerName val="0"/>
          <c:showPercent val="0"/>
          <c:showBubbleSize val="0"/>
        </c:dLbls>
        <c:gapWidth val="150"/>
        <c:axId val="19588490"/>
        <c:axId val="75834540"/>
      </c:barChart>
      <c:catAx>
        <c:axId val="1958849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834540"/>
        <c:crosses val="autoZero"/>
        <c:auto val="1"/>
        <c:lblAlgn val="ctr"/>
        <c:lblOffset val="100"/>
        <c:noMultiLvlLbl val="0"/>
      </c:catAx>
      <c:valAx>
        <c:axId val="75834540"/>
        <c:scaling>
          <c:orientation val="minMax"/>
        </c:scaling>
        <c:delete val="0"/>
        <c:axPos val="b"/>
        <c:majorGridlines>
          <c:spPr>
            <a:ln w="9360">
              <a:solidFill>
                <a:srgbClr val="878787"/>
              </a:solidFill>
              <a:round/>
            </a:ln>
          </c:spPr>
        </c:majorGridlines>
        <c:numFmt formatCode="0.0\x"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58849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Valuation Football Field</a:t>
            </a:r>
          </a:p>
        </c:rich>
      </c:tx>
      <c:overlay val="0"/>
      <c:spPr>
        <a:noFill/>
        <a:ln w="0">
          <a:noFill/>
        </a:ln>
      </c:spPr>
    </c:title>
    <c:autoTitleDeleted val="0"/>
    <c:plotArea>
      <c:layout/>
      <c:barChart>
        <c:barDir val="bar"/>
        <c:grouping val="stacked"/>
        <c:varyColors val="0"/>
        <c:ser>
          <c:idx val="0"/>
          <c:order val="0"/>
          <c:tx>
            <c:strRef>
              <c:f>'Executive Dashboard'!$B$47</c:f>
              <c:strCache>
                <c:ptCount val="1"/>
                <c:pt idx="0">
                  <c:v>Low Base</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Dashboard'!$A$48:$A$51</c:f>
              <c:strCache>
                <c:ptCount val="4"/>
                <c:pt idx="0">
                  <c:v>DCF</c:v>
                </c:pt>
                <c:pt idx="1">
                  <c:v>EV/EBITDA Comps</c:v>
                </c:pt>
                <c:pt idx="2">
                  <c:v>EV/Sales Comps</c:v>
                </c:pt>
                <c:pt idx="3">
                  <c:v>52-Wk Trading Range</c:v>
                </c:pt>
              </c:strCache>
            </c:strRef>
          </c:cat>
          <c:val>
            <c:numRef>
              <c:f>'Executive Dashboard'!$B$48:$B$51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BC22-438E-AD83-7459DF38EC21}"/>
            </c:ext>
          </c:extLst>
        </c:ser>
        <c:ser>
          <c:idx val="1"/>
          <c:order val="1"/>
          <c:tx>
            <c:strRef>
              <c:f>'Executive Dashboard'!$C$47</c:f>
              <c:strCache>
                <c:ptCount val="1"/>
                <c:pt idx="0">
                  <c:v>Range</c:v>
                </c:pt>
              </c:strCache>
            </c:strRef>
          </c:tx>
          <c:spPr>
            <a:solidFill>
              <a:srgbClr val="B08D5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'Executive Dashboard'!$A$48:$A$51</c:f>
              <c:strCache>
                <c:ptCount val="4"/>
                <c:pt idx="0">
                  <c:v>DCF</c:v>
                </c:pt>
                <c:pt idx="1">
                  <c:v>EV/EBITDA Comps</c:v>
                </c:pt>
                <c:pt idx="2">
                  <c:v>EV/Sales Comps</c:v>
                </c:pt>
                <c:pt idx="3">
                  <c:v>52-Wk Trading Range</c:v>
                </c:pt>
              </c:strCache>
            </c:strRef>
          </c:cat>
          <c:val>
            <c:numRef>
              <c:f>'Executive Dashboard'!$C$48:$C$51</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BC22-438E-AD83-7459DF38EC21}"/>
            </c:ext>
          </c:extLst>
        </c:ser>
        <c:dLbls>
          <c:showLegendKey val="0"/>
          <c:showVal val="0"/>
          <c:showCatName val="0"/>
          <c:showSerName val="0"/>
          <c:showPercent val="0"/>
          <c:showBubbleSize val="0"/>
        </c:dLbls>
        <c:gapWidth val="150"/>
        <c:overlap val="100"/>
        <c:axId val="23635307"/>
        <c:axId val="38360436"/>
      </c:barChart>
      <c:catAx>
        <c:axId val="23635307"/>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60436"/>
        <c:crosses val="autoZero"/>
        <c:auto val="1"/>
        <c:lblAlgn val="ctr"/>
        <c:lblOffset val="100"/>
        <c:noMultiLvlLbl val="0"/>
      </c:catAx>
      <c:valAx>
        <c:axId val="38360436"/>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63530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Implied Price Sensitivity (WACC x g)</a:t>
            </a:r>
          </a:p>
        </c:rich>
      </c:tx>
      <c:overlay val="0"/>
      <c:spPr>
        <a:noFill/>
        <a:ln w="0">
          <a:noFill/>
        </a:ln>
      </c:spPr>
    </c:title>
    <c:autoTitleDeleted val="0"/>
    <c:plotArea>
      <c:layout/>
      <c:barChart>
        <c:barDir val="col"/>
        <c:grouping val="clustered"/>
        <c:varyColors val="0"/>
        <c:ser>
          <c:idx val="0"/>
          <c:order val="0"/>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'Sensitivity Analysis'!$B$4:$F$4</c:f>
              <c:numCache>
                <c:formatCode>0.0%</c:formatCode>
                <c:ptCount val="5"/>
                <c:pt idx="0">
                  <c:v>-0.01</c:v>
                </c:pt>
                <c:pt idx="1">
                  <c:v>-5.0000000000000001E-3</c:v>
                </c:pt>
                <c:pt idx="2">
                  <c:v>0</c:v>
                </c:pt>
                <c:pt idx="3">
                  <c:v>5.0000000000000001E-3</c:v>
                </c:pt>
                <c:pt idx="4">
                  <c:v>0.01</c:v>
                </c:pt>
              </c:numCache>
            </c:numRef>
          </c:cat>
          <c:val>
            <c:numRef>
              <c:f>'Sensitivity Analysis'!$B$7</c:f>
              <c:numCache>
                <c:formatCode>\$0.00</c:formatCode>
                <c:ptCount val="1"/>
                <c:pt idx="0">
                  <c:v>-1.8456629894008219</c:v>
                </c:pt>
              </c:numCache>
            </c:numRef>
          </c:val>
          <c:extLst>
            <c:ext xmlns:c16="http://schemas.microsoft.com/office/drawing/2014/chart" uri="{C3380CC4-5D6E-409C-BE32-E72D297353CC}">
              <c16:uniqueId val="{00000000-C397-4F2A-BC3F-38F0E23062B0}"/>
            </c:ext>
          </c:extLst>
        </c:ser>
        <c:ser>
          <c:idx val="1"/>
          <c:order val="1"/>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'Sensitivity Analysis'!$B$4:$F$4</c:f>
              <c:numCache>
                <c:formatCode>0.0%</c:formatCode>
                <c:ptCount val="5"/>
                <c:pt idx="0">
                  <c:v>-0.01</c:v>
                </c:pt>
                <c:pt idx="1">
                  <c:v>-5.0000000000000001E-3</c:v>
                </c:pt>
                <c:pt idx="2">
                  <c:v>0</c:v>
                </c:pt>
                <c:pt idx="3">
                  <c:v>5.0000000000000001E-3</c:v>
                </c:pt>
                <c:pt idx="4">
                  <c:v>0.01</c:v>
                </c:pt>
              </c:numCache>
            </c:numRef>
          </c:cat>
          <c:val>
            <c:numRef>
              <c:f>'Sensitivity Analysis'!$C$7</c:f>
              <c:numCache>
                <c:formatCode>\$0.00</c:formatCode>
                <c:ptCount val="1"/>
                <c:pt idx="0">
                  <c:v>-1.8456629894008219</c:v>
                </c:pt>
              </c:numCache>
            </c:numRef>
          </c:val>
          <c:extLst>
            <c:ext xmlns:c16="http://schemas.microsoft.com/office/drawing/2014/chart" uri="{C3380CC4-5D6E-409C-BE32-E72D297353CC}">
              <c16:uniqueId val="{00000001-C397-4F2A-BC3F-38F0E23062B0}"/>
            </c:ext>
          </c:extLst>
        </c:ser>
        <c:ser>
          <c:idx val="2"/>
          <c:order val="2"/>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'Sensitivity Analysis'!$B$4:$F$4</c:f>
              <c:numCache>
                <c:formatCode>0.0%</c:formatCode>
                <c:ptCount val="5"/>
                <c:pt idx="0">
                  <c:v>-0.01</c:v>
                </c:pt>
                <c:pt idx="1">
                  <c:v>-5.0000000000000001E-3</c:v>
                </c:pt>
                <c:pt idx="2">
                  <c:v>0</c:v>
                </c:pt>
                <c:pt idx="3">
                  <c:v>5.0000000000000001E-3</c:v>
                </c:pt>
                <c:pt idx="4">
                  <c:v>0.01</c:v>
                </c:pt>
              </c:numCache>
            </c:numRef>
          </c:cat>
          <c:val>
            <c:numRef>
              <c:f>'Sensitivity Analysis'!$D$7</c:f>
              <c:numCache>
                <c:formatCode>\$0.00</c:formatCode>
                <c:ptCount val="1"/>
                <c:pt idx="0">
                  <c:v>0</c:v>
                </c:pt>
              </c:numCache>
            </c:numRef>
          </c:val>
          <c:extLst>
            <c:ext xmlns:c16="http://schemas.microsoft.com/office/drawing/2014/chart" uri="{C3380CC4-5D6E-409C-BE32-E72D297353CC}">
              <c16:uniqueId val="{00000002-C397-4F2A-BC3F-38F0E23062B0}"/>
            </c:ext>
          </c:extLst>
        </c:ser>
        <c:ser>
          <c:idx val="3"/>
          <c:order val="3"/>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'Sensitivity Analysis'!$B$4:$F$4</c:f>
              <c:numCache>
                <c:formatCode>0.0%</c:formatCode>
                <c:ptCount val="5"/>
                <c:pt idx="0">
                  <c:v>-0.01</c:v>
                </c:pt>
                <c:pt idx="1">
                  <c:v>-5.0000000000000001E-3</c:v>
                </c:pt>
                <c:pt idx="2">
                  <c:v>0</c:v>
                </c:pt>
                <c:pt idx="3">
                  <c:v>5.0000000000000001E-3</c:v>
                </c:pt>
                <c:pt idx="4">
                  <c:v>0.01</c:v>
                </c:pt>
              </c:numCache>
            </c:numRef>
          </c:cat>
          <c:val>
            <c:numRef>
              <c:f>'Sensitivity Analysis'!$E$7</c:f>
              <c:numCache>
                <c:formatCode>\$0.00</c:formatCode>
                <c:ptCount val="1"/>
                <c:pt idx="0">
                  <c:v>-1.8456629894008219</c:v>
                </c:pt>
              </c:numCache>
            </c:numRef>
          </c:val>
          <c:extLst>
            <c:ext xmlns:c16="http://schemas.microsoft.com/office/drawing/2014/chart" uri="{C3380CC4-5D6E-409C-BE32-E72D297353CC}">
              <c16:uniqueId val="{00000003-C397-4F2A-BC3F-38F0E23062B0}"/>
            </c:ext>
          </c:extLst>
        </c:ser>
        <c:ser>
          <c:idx val="4"/>
          <c:order val="4"/>
          <c:spPr>
            <a:solidFill>
              <a:srgbClr val="4BACC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'Sensitivity Analysis'!$B$4:$F$4</c:f>
              <c:numCache>
                <c:formatCode>0.0%</c:formatCode>
                <c:ptCount val="5"/>
                <c:pt idx="0">
                  <c:v>-0.01</c:v>
                </c:pt>
                <c:pt idx="1">
                  <c:v>-5.0000000000000001E-3</c:v>
                </c:pt>
                <c:pt idx="2">
                  <c:v>0</c:v>
                </c:pt>
                <c:pt idx="3">
                  <c:v>5.0000000000000001E-3</c:v>
                </c:pt>
                <c:pt idx="4">
                  <c:v>0.01</c:v>
                </c:pt>
              </c:numCache>
            </c:numRef>
          </c:cat>
          <c:val>
            <c:numRef>
              <c:f>'Sensitivity Analysis'!$F$7</c:f>
              <c:numCache>
                <c:formatCode>\$0.00</c:formatCode>
                <c:ptCount val="1"/>
                <c:pt idx="0">
                  <c:v>-1.8456629894008219</c:v>
                </c:pt>
              </c:numCache>
            </c:numRef>
          </c:val>
          <c:extLst>
            <c:ext xmlns:c16="http://schemas.microsoft.com/office/drawing/2014/chart" uri="{C3380CC4-5D6E-409C-BE32-E72D297353CC}">
              <c16:uniqueId val="{00000004-C397-4F2A-BC3F-38F0E23062B0}"/>
            </c:ext>
          </c:extLst>
        </c:ser>
        <c:dLbls>
          <c:showLegendKey val="0"/>
          <c:showVal val="0"/>
          <c:showCatName val="0"/>
          <c:showSerName val="0"/>
          <c:showPercent val="0"/>
          <c:showBubbleSize val="0"/>
        </c:dLbls>
        <c:gapWidth val="150"/>
        <c:axId val="45167560"/>
        <c:axId val="25433338"/>
      </c:barChart>
      <c:catAx>
        <c:axId val="45167560"/>
        <c:scaling>
          <c:orientation val="minMax"/>
        </c:scaling>
        <c:delete val="0"/>
        <c:axPos val="b"/>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433338"/>
        <c:crosses val="autoZero"/>
        <c:auto val="1"/>
        <c:lblAlgn val="ctr"/>
        <c:lblOffset val="100"/>
        <c:noMultiLvlLbl val="0"/>
      </c:catAx>
      <c:valAx>
        <c:axId val="25433338"/>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16756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Toffee Platform Engagement — World Cup Events</a:t>
            </a:r>
          </a:p>
        </c:rich>
      </c:tx>
      <c:overlay val="0"/>
      <c:spPr>
        <a:noFill/>
        <a:ln w="0">
          <a:noFill/>
        </a:ln>
      </c:spPr>
    </c:title>
    <c:autoTitleDeleted val="0"/>
    <c:plotArea>
      <c:layout/>
      <c:barChart>
        <c:barDir val="col"/>
        <c:grouping val="clustered"/>
        <c:varyColors val="0"/>
        <c:ser>
          <c:idx val="0"/>
          <c:order val="0"/>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'Banglalink Strategic Insights'!$A$15:$A$16</c:f>
              <c:strCache>
                <c:ptCount val="2"/>
                <c:pt idx="0">
                  <c:v>World Cup 2022 Final (single match)</c:v>
                </c:pt>
                <c:pt idx="1">
                  <c:v>World Cup 2026 (39-day tournament, MAU)</c:v>
                </c:pt>
              </c:strCache>
            </c:strRef>
          </c:cat>
          <c:val>
            <c:numRef>
              <c:f>'Banglalink Strategic Insights'!$B$15:$B$16</c:f>
              <c:numCache>
                <c:formatCode>#,##0</c:formatCode>
                <c:ptCount val="2"/>
                <c:pt idx="0">
                  <c:v>15</c:v>
                </c:pt>
                <c:pt idx="1">
                  <c:v>20</c:v>
                </c:pt>
              </c:numCache>
            </c:numRef>
          </c:val>
          <c:extLst>
            <c:ext xmlns:c16="http://schemas.microsoft.com/office/drawing/2014/chart" uri="{C3380CC4-5D6E-409C-BE32-E72D297353CC}">
              <c16:uniqueId val="{00000000-E065-45A9-9D21-4BC863B0669B}"/>
            </c:ext>
          </c:extLst>
        </c:ser>
        <c:dLbls>
          <c:showLegendKey val="0"/>
          <c:showVal val="0"/>
          <c:showCatName val="0"/>
          <c:showSerName val="0"/>
          <c:showPercent val="0"/>
          <c:showBubbleSize val="0"/>
        </c:dLbls>
        <c:gapWidth val="150"/>
        <c:axId val="94199360"/>
        <c:axId val="65985407"/>
      </c:barChart>
      <c:catAx>
        <c:axId val="941993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985407"/>
        <c:crosses val="autoZero"/>
        <c:auto val="1"/>
        <c:lblAlgn val="ctr"/>
        <c:lblOffset val="100"/>
        <c:noMultiLvlLbl val="0"/>
      </c:catAx>
      <c:valAx>
        <c:axId val="6598540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Viewers / MAU (million)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19936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Anchor Investment vs. Targeted Follow-On Capital</a:t>
            </a:r>
          </a:p>
        </c:rich>
      </c:tx>
      <c:overlay val="0"/>
      <c:spPr>
        <a:noFill/>
        <a:ln w="0">
          <a:noFill/>
        </a:ln>
      </c:spPr>
    </c:title>
    <c:autoTitleDeleted val="0"/>
    <c:plotArea>
      <c:layout/>
      <c:barChart>
        <c:barDir val="col"/>
        <c:grouping val="clustered"/>
        <c:varyColors val="0"/>
        <c:ser>
          <c:idx val="0"/>
          <c:order val="0"/>
          <c:spPr>
            <a:solidFill>
              <a:srgbClr val="B08D57"/>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'Banglalink Strategic Insights'!$A$9:$A$10</c:f>
              <c:strCache>
                <c:ptCount val="2"/>
                <c:pt idx="0">
                  <c:v>Anchor Investment (June 2026, USD mn)</c:v>
                </c:pt>
                <c:pt idx="1">
                  <c:v>Targeted Follow-On Capital (USD mn)</c:v>
                </c:pt>
              </c:strCache>
            </c:strRef>
          </c:cat>
          <c:val>
            <c:numRef>
              <c:f>'Banglalink Strategic Insights'!$B$9:$B$10</c:f>
              <c:numCache>
                <c:formatCode>#,##0</c:formatCode>
                <c:ptCount val="2"/>
                <c:pt idx="0">
                  <c:v>250</c:v>
                </c:pt>
                <c:pt idx="1">
                  <c:v>1000</c:v>
                </c:pt>
              </c:numCache>
            </c:numRef>
          </c:val>
          <c:extLst>
            <c:ext xmlns:c16="http://schemas.microsoft.com/office/drawing/2014/chart" uri="{C3380CC4-5D6E-409C-BE32-E72D297353CC}">
              <c16:uniqueId val="{00000000-2F8B-41C2-85B2-D79DE3CF9108}"/>
            </c:ext>
          </c:extLst>
        </c:ser>
        <c:dLbls>
          <c:showLegendKey val="0"/>
          <c:showVal val="0"/>
          <c:showCatName val="0"/>
          <c:showSerName val="0"/>
          <c:showPercent val="0"/>
          <c:showBubbleSize val="0"/>
        </c:dLbls>
        <c:gapWidth val="150"/>
        <c:axId val="37274963"/>
        <c:axId val="5771003"/>
      </c:barChart>
      <c:catAx>
        <c:axId val="372749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71003"/>
        <c:crosses val="autoZero"/>
        <c:auto val="1"/>
        <c:lblAlgn val="ctr"/>
        <c:lblOffset val="100"/>
        <c:noMultiLvlLbl val="0"/>
      </c:catAx>
      <c:valAx>
        <c:axId val="577100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 million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27496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Target Price Derivation</a:t>
            </a:r>
          </a:p>
        </c:rich>
      </c:tx>
      <c:overlay val="0"/>
      <c:spPr>
        <a:noFill/>
        <a:ln w="0">
          <a:noFill/>
        </a:ln>
      </c:spPr>
    </c:title>
    <c:autoTitleDeleted val="0"/>
    <c:plotArea>
      <c:layout/>
      <c:barChart>
        <c:barDir val="col"/>
        <c:grouping val="clustered"/>
        <c:varyColors val="0"/>
        <c:ser>
          <c:idx val="0"/>
          <c:order val="0"/>
          <c:spPr>
            <a:solidFill>
              <a:srgbClr val="1B2A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'Investment Summary'!$A$33:$A$35</c:f>
              <c:strCache>
                <c:ptCount val="3"/>
                <c:pt idx="0">
                  <c:v>DCF Value</c:v>
                </c:pt>
                <c:pt idx="1">
                  <c:v>Trading Comps Implied</c:v>
                </c:pt>
                <c:pt idx="2">
                  <c:v>Blended Target</c:v>
                </c:pt>
              </c:strCache>
            </c:strRef>
          </c:cat>
          <c:val>
            <c:numRef>
              <c:f>'Investment Summary'!$B$33:$B$35</c:f>
              <c:numCache>
                <c:formatCode>\$0.00</c:formatCode>
                <c:ptCount val="3"/>
                <c:pt idx="0">
                  <c:v>0</c:v>
                </c:pt>
                <c:pt idx="1">
                  <c:v>0</c:v>
                </c:pt>
                <c:pt idx="2">
                  <c:v>0</c:v>
                </c:pt>
              </c:numCache>
            </c:numRef>
          </c:val>
          <c:extLst>
            <c:ext xmlns:c16="http://schemas.microsoft.com/office/drawing/2014/chart" uri="{C3380CC4-5D6E-409C-BE32-E72D297353CC}">
              <c16:uniqueId val="{00000000-DF8E-4F56-9BC0-3AA431E09F14}"/>
            </c:ext>
          </c:extLst>
        </c:ser>
        <c:dLbls>
          <c:showLegendKey val="0"/>
          <c:showVal val="0"/>
          <c:showCatName val="0"/>
          <c:showSerName val="0"/>
          <c:showPercent val="0"/>
          <c:showBubbleSize val="0"/>
        </c:dLbls>
        <c:gapWidth val="150"/>
        <c:axId val="20251456"/>
        <c:axId val="84467776"/>
      </c:barChart>
      <c:catAx>
        <c:axId val="2025145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467776"/>
        <c:crosses val="autoZero"/>
        <c:auto val="1"/>
        <c:lblAlgn val="ctr"/>
        <c:lblOffset val="100"/>
        <c:noMultiLvlLbl val="0"/>
      </c:catAx>
      <c:valAx>
        <c:axId val="84467776"/>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25145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160560</xdr:rowOff>
    </xdr:from>
    <xdr:to>
      <xdr:col>10</xdr:col>
      <xdr:colOff>300960</xdr:colOff>
      <xdr:row>17</xdr:row>
      <xdr:rowOff>172080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17</xdr:row>
      <xdr:rowOff>160560</xdr:rowOff>
    </xdr:from>
    <xdr:to>
      <xdr:col>10</xdr:col>
      <xdr:colOff>300960</xdr:colOff>
      <xdr:row>32</xdr:row>
      <xdr:rowOff>89280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47</xdr:row>
      <xdr:rowOff>160560</xdr:rowOff>
    </xdr:from>
    <xdr:to>
      <xdr:col>9</xdr:col>
      <xdr:colOff>347760</xdr:colOff>
      <xdr:row>62</xdr:row>
      <xdr:rowOff>2880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190440</xdr:rowOff>
    </xdr:from>
    <xdr:to>
      <xdr:col>18</xdr:col>
      <xdr:colOff>4680</xdr:colOff>
      <xdr:row>17</xdr:row>
      <xdr:rowOff>161640</xdr:rowOff>
    </xdr:to>
    <xdr:graphicFrame macro="">
      <xdr:nvGraphicFramePr>
        <xdr:cNvPr id="3" name="Chart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19</xdr:row>
      <xdr:rowOff>160560</xdr:rowOff>
    </xdr:from>
    <xdr:to>
      <xdr:col>18</xdr:col>
      <xdr:colOff>4680</xdr:colOff>
      <xdr:row>34</xdr:row>
      <xdr:rowOff>182520</xdr:rowOff>
    </xdr:to>
    <xdr:graphicFrame macro="">
      <xdr:nvGraphicFramePr>
        <xdr:cNvPr id="4" name="Chart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1</xdr:row>
      <xdr:rowOff>160560</xdr:rowOff>
    </xdr:from>
    <xdr:to>
      <xdr:col>18</xdr:col>
      <xdr:colOff>4680</xdr:colOff>
      <xdr:row>18</xdr:row>
      <xdr:rowOff>161640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2</xdr:row>
      <xdr:rowOff>160920</xdr:rowOff>
    </xdr:from>
    <xdr:to>
      <xdr:col>7</xdr:col>
      <xdr:colOff>442800</xdr:colOff>
      <xdr:row>15</xdr:row>
      <xdr:rowOff>24120</xdr:rowOff>
    </xdr:to>
    <xdr:graphicFrame macro="">
      <xdr:nvGraphicFramePr>
        <xdr:cNvPr id="6" name="Chart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20</xdr:row>
      <xdr:rowOff>160920</xdr:rowOff>
    </xdr:from>
    <xdr:to>
      <xdr:col>5</xdr:col>
      <xdr:colOff>473400</xdr:colOff>
      <xdr:row>37</xdr:row>
      <xdr:rowOff>162000</xdr:rowOff>
    </xdr:to>
    <xdr:graphicFrame macro="">
      <xdr:nvGraphicFramePr>
        <xdr:cNvPr id="7" name="Chart 1">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17</xdr:row>
      <xdr:rowOff>160560</xdr:rowOff>
    </xdr:from>
    <xdr:to>
      <xdr:col>6</xdr:col>
      <xdr:colOff>332280</xdr:colOff>
      <xdr:row>34</xdr:row>
      <xdr:rowOff>161640</xdr:rowOff>
    </xdr:to>
    <xdr:graphicFrame macro="">
      <xdr:nvGraphicFramePr>
        <xdr:cNvPr id="8" name="Chart 1">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13</xdr:row>
      <xdr:rowOff>39600</xdr:rowOff>
    </xdr:from>
    <xdr:to>
      <xdr:col>9</xdr:col>
      <xdr:colOff>27720</xdr:colOff>
      <xdr:row>25</xdr:row>
      <xdr:rowOff>93240</xdr:rowOff>
    </xdr:to>
    <xdr:graphicFrame macro="">
      <xdr:nvGraphicFramePr>
        <xdr:cNvPr id="9" name="Chart 1">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13</xdr:row>
      <xdr:rowOff>39600</xdr:rowOff>
    </xdr:from>
    <xdr:to>
      <xdr:col>15</xdr:col>
      <xdr:colOff>27720</xdr:colOff>
      <xdr:row>25</xdr:row>
      <xdr:rowOff>93240</xdr:rowOff>
    </xdr:to>
    <xdr:graphicFrame macro="">
      <xdr:nvGraphicFramePr>
        <xdr:cNvPr id="10" name="Chart 2">
          <a:extLst>
            <a:ext uri="{FF2B5EF4-FFF2-40B4-BE49-F238E27FC236}">
              <a16:creationId xmlns:a16="http://schemas.microsoft.com/office/drawing/2014/main" id="{00000000-0008-0000-0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13</xdr:row>
      <xdr:rowOff>39600</xdr:rowOff>
    </xdr:from>
    <xdr:to>
      <xdr:col>20</xdr:col>
      <xdr:colOff>464760</xdr:colOff>
      <xdr:row>25</xdr:row>
      <xdr:rowOff>93240</xdr:rowOff>
    </xdr:to>
    <xdr:graphicFrame macro="">
      <xdr:nvGraphicFramePr>
        <xdr:cNvPr id="11" name="Chart 3">
          <a:extLst>
            <a:ext uri="{FF2B5EF4-FFF2-40B4-BE49-F238E27FC236}">
              <a16:creationId xmlns:a16="http://schemas.microsoft.com/office/drawing/2014/main" id="{00000000-0008-0000-0A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24</xdr:row>
      <xdr:rowOff>39240</xdr:rowOff>
    </xdr:from>
    <xdr:to>
      <xdr:col>9</xdr:col>
      <xdr:colOff>27720</xdr:colOff>
      <xdr:row>36</xdr:row>
      <xdr:rowOff>92880</xdr:rowOff>
    </xdr:to>
    <xdr:graphicFrame macro="">
      <xdr:nvGraphicFramePr>
        <xdr:cNvPr id="12" name="Chart 4">
          <a:extLst>
            <a:ext uri="{FF2B5EF4-FFF2-40B4-BE49-F238E27FC236}">
              <a16:creationId xmlns:a16="http://schemas.microsoft.com/office/drawing/2014/main" id="{00000000-0008-0000-0A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24</xdr:row>
      <xdr:rowOff>39240</xdr:rowOff>
    </xdr:from>
    <xdr:to>
      <xdr:col>15</xdr:col>
      <xdr:colOff>27720</xdr:colOff>
      <xdr:row>36</xdr:row>
      <xdr:rowOff>92880</xdr:rowOff>
    </xdr:to>
    <xdr:graphicFrame macro="">
      <xdr:nvGraphicFramePr>
        <xdr:cNvPr id="13" name="Chart 5">
          <a:extLst>
            <a:ext uri="{FF2B5EF4-FFF2-40B4-BE49-F238E27FC236}">
              <a16:creationId xmlns:a16="http://schemas.microsoft.com/office/drawing/2014/main" id="{00000000-0008-0000-0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24</xdr:row>
      <xdr:rowOff>39240</xdr:rowOff>
    </xdr:from>
    <xdr:to>
      <xdr:col>20</xdr:col>
      <xdr:colOff>464760</xdr:colOff>
      <xdr:row>36</xdr:row>
      <xdr:rowOff>92880</xdr:rowOff>
    </xdr:to>
    <xdr:graphicFrame macro="">
      <xdr:nvGraphicFramePr>
        <xdr:cNvPr id="14" name="Chart 6">
          <a:extLst>
            <a:ext uri="{FF2B5EF4-FFF2-40B4-BE49-F238E27FC236}">
              <a16:creationId xmlns:a16="http://schemas.microsoft.com/office/drawing/2014/main" id="{00000000-0008-0000-0A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34</xdr:row>
      <xdr:rowOff>39240</xdr:rowOff>
    </xdr:from>
    <xdr:to>
      <xdr:col>9</xdr:col>
      <xdr:colOff>27720</xdr:colOff>
      <xdr:row>45</xdr:row>
      <xdr:rowOff>103680</xdr:rowOff>
    </xdr:to>
    <xdr:graphicFrame macro="">
      <xdr:nvGraphicFramePr>
        <xdr:cNvPr id="15" name="Chart 7">
          <a:extLst>
            <a:ext uri="{FF2B5EF4-FFF2-40B4-BE49-F238E27FC236}">
              <a16:creationId xmlns:a16="http://schemas.microsoft.com/office/drawing/2014/main" id="{00000000-0008-0000-0A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0</xdr:colOff>
      <xdr:row>34</xdr:row>
      <xdr:rowOff>39240</xdr:rowOff>
    </xdr:from>
    <xdr:to>
      <xdr:col>15</xdr:col>
      <xdr:colOff>27720</xdr:colOff>
      <xdr:row>45</xdr:row>
      <xdr:rowOff>103680</xdr:rowOff>
    </xdr:to>
    <xdr:graphicFrame macro="">
      <xdr:nvGraphicFramePr>
        <xdr:cNvPr id="16" name="Chart 8">
          <a:extLst>
            <a:ext uri="{FF2B5EF4-FFF2-40B4-BE49-F238E27FC236}">
              <a16:creationId xmlns:a16="http://schemas.microsoft.com/office/drawing/2014/main" id="{00000000-0008-0000-0A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0</xdr:colOff>
      <xdr:row>34</xdr:row>
      <xdr:rowOff>39240</xdr:rowOff>
    </xdr:from>
    <xdr:to>
      <xdr:col>20</xdr:col>
      <xdr:colOff>464760</xdr:colOff>
      <xdr:row>45</xdr:row>
      <xdr:rowOff>103680</xdr:rowOff>
    </xdr:to>
    <xdr:graphicFrame macro="">
      <xdr:nvGraphicFramePr>
        <xdr:cNvPr id="17" name="Chart 9">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0</xdr:colOff>
      <xdr:row>1</xdr:row>
      <xdr:rowOff>160560</xdr:rowOff>
    </xdr:from>
    <xdr:to>
      <xdr:col>9</xdr:col>
      <xdr:colOff>370440</xdr:colOff>
      <xdr:row>16</xdr:row>
      <xdr:rowOff>182520</xdr:rowOff>
    </xdr:to>
    <xdr:graphicFrame macro="">
      <xdr:nvGraphicFramePr>
        <xdr:cNvPr id="18" name="Chart 1">
          <a:extLst>
            <a:ext uri="{FF2B5EF4-FFF2-40B4-BE49-F238E27FC236}">
              <a16:creationId xmlns:a16="http://schemas.microsoft.com/office/drawing/2014/main" id="{00000000-0008-0000-0B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18</xdr:row>
      <xdr:rowOff>160560</xdr:rowOff>
    </xdr:from>
    <xdr:to>
      <xdr:col>9</xdr:col>
      <xdr:colOff>370440</xdr:colOff>
      <xdr:row>33</xdr:row>
      <xdr:rowOff>182880</xdr:rowOff>
    </xdr:to>
    <xdr:graphicFrame macro="">
      <xdr:nvGraphicFramePr>
        <xdr:cNvPr id="19" name="Chart 2">
          <a:extLst>
            <a:ext uri="{FF2B5EF4-FFF2-40B4-BE49-F238E27FC236}">
              <a16:creationId xmlns:a16="http://schemas.microsoft.com/office/drawing/2014/main" id="{00000000-0008-0000-0B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1</xdr:row>
      <xdr:rowOff>160560</xdr:rowOff>
    </xdr:from>
    <xdr:to>
      <xdr:col>9</xdr:col>
      <xdr:colOff>290880</xdr:colOff>
      <xdr:row>12</xdr:row>
      <xdr:rowOff>135000</xdr:rowOff>
    </xdr:to>
    <xdr:graphicFrame macro="">
      <xdr:nvGraphicFramePr>
        <xdr:cNvPr id="20" name="Chart 1">
          <a:extLst>
            <a:ext uri="{FF2B5EF4-FFF2-40B4-BE49-F238E27FC236}">
              <a16:creationId xmlns:a16="http://schemas.microsoft.com/office/drawing/2014/main" id="{00000000-0008-0000-0C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VEON_Valuation_Workbook.xlsx" TargetMode="External"/><Relationship Id="rId3" Type="http://schemas.openxmlformats.org/officeDocument/2006/relationships/hyperlink" Target="VEON_Valuation_Workbook.xlsx" TargetMode="External"/><Relationship Id="rId7" Type="http://schemas.openxmlformats.org/officeDocument/2006/relationships/hyperlink" Target="VEON_Valuation_Workbook.xlsx" TargetMode="External"/><Relationship Id="rId12" Type="http://schemas.openxmlformats.org/officeDocument/2006/relationships/hyperlink" Target="VEON_Valuation_Workbook.xlsx" TargetMode="External"/><Relationship Id="rId2" Type="http://schemas.openxmlformats.org/officeDocument/2006/relationships/hyperlink" Target="VEON_Valuation_Workbook.xlsx" TargetMode="External"/><Relationship Id="rId1" Type="http://schemas.openxmlformats.org/officeDocument/2006/relationships/hyperlink" Target="VEON_Valuation_Workbook.xlsx" TargetMode="External"/><Relationship Id="rId6" Type="http://schemas.openxmlformats.org/officeDocument/2006/relationships/hyperlink" Target="VEON_Valuation_Workbook.xlsx" TargetMode="External"/><Relationship Id="rId11" Type="http://schemas.openxmlformats.org/officeDocument/2006/relationships/hyperlink" Target="VEON_Valuation_Workbook.xlsx" TargetMode="External"/><Relationship Id="rId5" Type="http://schemas.openxmlformats.org/officeDocument/2006/relationships/hyperlink" Target="VEON_Valuation_Workbook.xlsx" TargetMode="External"/><Relationship Id="rId10" Type="http://schemas.openxmlformats.org/officeDocument/2006/relationships/hyperlink" Target="VEON_Valuation_Workbook.xlsx" TargetMode="External"/><Relationship Id="rId4" Type="http://schemas.openxmlformats.org/officeDocument/2006/relationships/hyperlink" Target="VEON_Valuation_Workbook.xlsx" TargetMode="External"/><Relationship Id="rId9" Type="http://schemas.openxmlformats.org/officeDocument/2006/relationships/hyperlink" Target="VEON_Valuation_Workbook.xls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1"/>
  <sheetViews>
    <sheetView showGridLines="0" zoomScaleNormal="100" workbookViewId="0">
      <selection activeCell="M23" sqref="M23"/>
    </sheetView>
  </sheetViews>
  <sheetFormatPr defaultColWidth="8.7109375" defaultRowHeight="15" x14ac:dyDescent="0.25"/>
  <cols>
    <col min="1" max="10" width="12" customWidth="1"/>
  </cols>
  <sheetData>
    <row r="1" spans="1:10" x14ac:dyDescent="0.25">
      <c r="A1" s="13"/>
      <c r="B1" s="13"/>
      <c r="C1" s="13"/>
      <c r="D1" s="13"/>
      <c r="E1" s="13"/>
      <c r="F1" s="13"/>
      <c r="G1" s="13"/>
      <c r="H1" s="13"/>
      <c r="I1" s="13"/>
      <c r="J1" s="13"/>
    </row>
    <row r="2" spans="1:10" ht="23.25" x14ac:dyDescent="0.25">
      <c r="A2" s="12" t="s">
        <v>0</v>
      </c>
      <c r="B2" s="12"/>
      <c r="C2" s="12"/>
      <c r="D2" s="12"/>
      <c r="E2" s="12"/>
      <c r="F2" s="12"/>
      <c r="G2" s="12"/>
      <c r="H2" s="12"/>
      <c r="I2" s="12"/>
      <c r="J2" s="12"/>
    </row>
    <row r="3" spans="1:10" x14ac:dyDescent="0.25">
      <c r="A3" s="13"/>
      <c r="B3" s="13"/>
      <c r="C3" s="13"/>
      <c r="D3" s="13"/>
      <c r="E3" s="13"/>
      <c r="F3" s="13"/>
      <c r="G3" s="13"/>
      <c r="H3" s="13"/>
      <c r="I3" s="13"/>
      <c r="J3" s="13"/>
    </row>
    <row r="6" spans="1:10" ht="33.75" x14ac:dyDescent="0.25">
      <c r="A6" s="11" t="s">
        <v>1</v>
      </c>
      <c r="B6" s="11"/>
      <c r="C6" s="11"/>
      <c r="D6" s="11"/>
      <c r="E6" s="11"/>
      <c r="F6" s="11"/>
      <c r="G6" s="11"/>
      <c r="H6" s="11"/>
      <c r="I6" s="11"/>
      <c r="J6" s="11"/>
    </row>
    <row r="8" spans="1:10" ht="17.25" x14ac:dyDescent="0.25">
      <c r="A8" s="10" t="s">
        <v>2</v>
      </c>
      <c r="B8" s="10"/>
      <c r="C8" s="10"/>
      <c r="D8" s="10"/>
      <c r="E8" s="10"/>
      <c r="F8" s="10"/>
      <c r="G8" s="10"/>
      <c r="H8" s="10"/>
      <c r="I8" s="10"/>
      <c r="J8" s="10"/>
    </row>
    <row r="11" spans="1:10" ht="18.75" x14ac:dyDescent="0.25">
      <c r="A11" s="9" t="s">
        <v>3</v>
      </c>
      <c r="B11" s="9"/>
      <c r="C11" s="9"/>
      <c r="D11" s="9"/>
      <c r="E11" s="9"/>
      <c r="F11" s="9"/>
      <c r="G11" s="9"/>
      <c r="H11" s="9"/>
      <c r="I11" s="9"/>
      <c r="J11" s="9"/>
    </row>
    <row r="15" spans="1:10" x14ac:dyDescent="0.25">
      <c r="B15" s="14" t="s">
        <v>4</v>
      </c>
      <c r="E15" s="15" t="s">
        <v>5</v>
      </c>
    </row>
    <row r="16" spans="1:10" x14ac:dyDescent="0.25">
      <c r="B16" s="14" t="s">
        <v>6</v>
      </c>
      <c r="E16" s="15" t="s">
        <v>7</v>
      </c>
    </row>
    <row r="17" spans="1:10" x14ac:dyDescent="0.25">
      <c r="B17" s="14" t="s">
        <v>8</v>
      </c>
      <c r="E17" s="15" t="s">
        <v>9</v>
      </c>
    </row>
    <row r="18" spans="1:10" x14ac:dyDescent="0.25">
      <c r="B18" s="14" t="s">
        <v>10</v>
      </c>
      <c r="E18" s="15" t="s">
        <v>11</v>
      </c>
    </row>
    <row r="19" spans="1:10" x14ac:dyDescent="0.25">
      <c r="B19" s="14" t="s">
        <v>12</v>
      </c>
      <c r="E19" s="15" t="s">
        <v>13</v>
      </c>
    </row>
    <row r="20" spans="1:10" x14ac:dyDescent="0.25">
      <c r="B20" s="14" t="s">
        <v>14</v>
      </c>
      <c r="E20" s="15" t="s">
        <v>15</v>
      </c>
    </row>
    <row r="24" spans="1:10" ht="15.75" x14ac:dyDescent="0.25">
      <c r="A24" s="8" t="s">
        <v>16</v>
      </c>
      <c r="B24" s="8"/>
      <c r="C24" s="8"/>
      <c r="D24" s="8"/>
      <c r="E24" s="8"/>
      <c r="F24" s="8"/>
      <c r="G24" s="8"/>
      <c r="H24" s="8"/>
      <c r="I24" s="8"/>
      <c r="J24" s="8"/>
    </row>
    <row r="26" spans="1:10" x14ac:dyDescent="0.25">
      <c r="B26" s="16" t="s">
        <v>17</v>
      </c>
      <c r="G26" s="16" t="s">
        <v>18</v>
      </c>
    </row>
    <row r="27" spans="1:10" x14ac:dyDescent="0.25">
      <c r="B27" s="16" t="s">
        <v>19</v>
      </c>
      <c r="G27" s="16" t="s">
        <v>20</v>
      </c>
    </row>
    <row r="28" spans="1:10" x14ac:dyDescent="0.25">
      <c r="B28" s="16" t="s">
        <v>21</v>
      </c>
      <c r="G28" s="16" t="s">
        <v>22</v>
      </c>
    </row>
    <row r="29" spans="1:10" x14ac:dyDescent="0.25">
      <c r="B29" s="16" t="s">
        <v>23</v>
      </c>
      <c r="G29" s="16" t="s">
        <v>24</v>
      </c>
    </row>
    <row r="30" spans="1:10" x14ac:dyDescent="0.25">
      <c r="B30" s="16" t="s">
        <v>25</v>
      </c>
      <c r="G30" s="16" t="s">
        <v>26</v>
      </c>
    </row>
    <row r="31" spans="1:10" x14ac:dyDescent="0.25">
      <c r="B31" s="16" t="s">
        <v>27</v>
      </c>
      <c r="G31" s="16" t="s">
        <v>28</v>
      </c>
    </row>
    <row r="40" spans="1:10" ht="15" customHeight="1" x14ac:dyDescent="0.25">
      <c r="A40" s="7" t="s">
        <v>29</v>
      </c>
      <c r="B40" s="7"/>
      <c r="C40" s="7"/>
      <c r="D40" s="7"/>
      <c r="E40" s="7"/>
      <c r="F40" s="7"/>
      <c r="G40" s="7"/>
      <c r="H40" s="7"/>
      <c r="I40" s="7"/>
      <c r="J40" s="7"/>
    </row>
    <row r="41" spans="1:10" x14ac:dyDescent="0.25">
      <c r="A41" s="7"/>
      <c r="B41" s="7"/>
      <c r="C41" s="7"/>
      <c r="D41" s="7"/>
      <c r="E41" s="7"/>
      <c r="F41" s="7"/>
      <c r="G41" s="7"/>
      <c r="H41" s="7"/>
      <c r="I41" s="7"/>
      <c r="J41" s="7"/>
    </row>
  </sheetData>
  <mergeCells count="6">
    <mergeCell ref="A40:J41"/>
    <mergeCell ref="A2:J2"/>
    <mergeCell ref="A6:J6"/>
    <mergeCell ref="A8:J8"/>
    <mergeCell ref="A11:J11"/>
    <mergeCell ref="A24:J24"/>
  </mergeCells>
  <hyperlinks>
    <hyperlink ref="B26" r:id="rId1" location="'Instructions'!A1" xr:uid="{00000000-0004-0000-0000-000000000000}"/>
    <hyperlink ref="G26" r:id="rId2" location="'Raw%20Financial%20Data'!A1" xr:uid="{00000000-0004-0000-0000-000001000000}"/>
    <hyperlink ref="B27" r:id="rId3" location="'Historical%20Financial%20Statements'!A1" xr:uid="{00000000-0004-0000-0000-000002000000}"/>
    <hyperlink ref="G27" r:id="rId4" location="'Assumptions'!A1" xr:uid="{00000000-0004-0000-0000-000003000000}"/>
    <hyperlink ref="B28" r:id="rId5" location="'Revenue%20Forecast'!A1" xr:uid="{00000000-0004-0000-0000-000004000000}"/>
    <hyperlink ref="G28" r:id="rId6" location="'Operating%20Forecast'!A1" xr:uid="{00000000-0004-0000-0000-000005000000}"/>
    <hyperlink ref="B29" r:id="rId7" location="'DCF%20Valuation'!A1" xr:uid="{00000000-0004-0000-0000-000006000000}"/>
    <hyperlink ref="G29" r:id="rId8" location="'Trading%20Comparables'!A1" xr:uid="{00000000-0004-0000-0000-000007000000}"/>
    <hyperlink ref="B30" r:id="rId9" location="'Sensitivity%20Analysis'!A1" xr:uid="{00000000-0004-0000-0000-000008000000}"/>
    <hyperlink ref="G30" r:id="rId10" location="'Executive%20Dashboard'!A1" xr:uid="{00000000-0004-0000-0000-000009000000}"/>
    <hyperlink ref="B31" r:id="rId11" location="'Banglalink%20Strategic%20Insights'!A1" xr:uid="{00000000-0004-0000-0000-00000A000000}"/>
    <hyperlink ref="G31" r:id="rId12" location="'Investment%20Summary'!A1" xr:uid="{00000000-0004-0000-0000-00000B000000}"/>
  </hyperlinks>
  <pageMargins left="0.4" right="0.4" top="0.5" bottom="0.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34"/>
  <sheetViews>
    <sheetView showGridLines="0" zoomScaleNormal="100" workbookViewId="0">
      <pane ySplit="1" topLeftCell="A2" activePane="bottomLeft" state="frozen"/>
      <selection pane="bottomLeft" sqref="A1:B1"/>
    </sheetView>
  </sheetViews>
  <sheetFormatPr defaultColWidth="8.7109375" defaultRowHeight="15" x14ac:dyDescent="0.25"/>
  <cols>
    <col min="1" max="1" width="30" customWidth="1"/>
    <col min="2" max="2" width="70" customWidth="1"/>
  </cols>
  <sheetData>
    <row r="1" spans="1:2" ht="18.75" x14ac:dyDescent="0.25">
      <c r="A1" s="6" t="s">
        <v>30</v>
      </c>
      <c r="B1" s="6"/>
    </row>
    <row r="3" spans="1:2" x14ac:dyDescent="0.25">
      <c r="A3" s="17" t="s">
        <v>31</v>
      </c>
    </row>
    <row r="4" spans="1:2" x14ac:dyDescent="0.25">
      <c r="A4" s="18" t="s">
        <v>32</v>
      </c>
      <c r="B4" s="19" t="s">
        <v>33</v>
      </c>
    </row>
    <row r="5" spans="1:2" x14ac:dyDescent="0.25">
      <c r="A5" s="20" t="s">
        <v>34</v>
      </c>
      <c r="B5" s="19" t="s">
        <v>35</v>
      </c>
    </row>
    <row r="6" spans="1:2" x14ac:dyDescent="0.25">
      <c r="A6" s="21" t="s">
        <v>36</v>
      </c>
      <c r="B6" s="19" t="s">
        <v>37</v>
      </c>
    </row>
    <row r="7" spans="1:2" x14ac:dyDescent="0.25">
      <c r="A7" s="22" t="s">
        <v>38</v>
      </c>
      <c r="B7" s="19" t="s">
        <v>39</v>
      </c>
    </row>
    <row r="8" spans="1:2" x14ac:dyDescent="0.25">
      <c r="A8" s="23" t="s">
        <v>40</v>
      </c>
      <c r="B8" s="19" t="s">
        <v>41</v>
      </c>
    </row>
    <row r="10" spans="1:2" x14ac:dyDescent="0.25">
      <c r="A10" s="17" t="s">
        <v>42</v>
      </c>
    </row>
    <row r="11" spans="1:2" x14ac:dyDescent="0.25">
      <c r="A11" s="24" t="s">
        <v>43</v>
      </c>
      <c r="B11" s="25" t="s">
        <v>44</v>
      </c>
    </row>
    <row r="12" spans="1:2" x14ac:dyDescent="0.25">
      <c r="A12" s="24" t="s">
        <v>45</v>
      </c>
      <c r="B12" s="25" t="s">
        <v>46</v>
      </c>
    </row>
    <row r="13" spans="1:2" x14ac:dyDescent="0.25">
      <c r="A13" s="24" t="s">
        <v>47</v>
      </c>
      <c r="B13" s="25" t="s">
        <v>48</v>
      </c>
    </row>
    <row r="14" spans="1:2" x14ac:dyDescent="0.25">
      <c r="A14" s="24" t="s">
        <v>49</v>
      </c>
      <c r="B14" s="25" t="s">
        <v>50</v>
      </c>
    </row>
    <row r="15" spans="1:2" x14ac:dyDescent="0.25">
      <c r="A15" s="24" t="s">
        <v>51</v>
      </c>
      <c r="B15" s="25" t="s">
        <v>52</v>
      </c>
    </row>
    <row r="16" spans="1:2" x14ac:dyDescent="0.25">
      <c r="A16" s="24" t="s">
        <v>53</v>
      </c>
      <c r="B16" s="25" t="s">
        <v>54</v>
      </c>
    </row>
    <row r="17" spans="1:2" x14ac:dyDescent="0.25">
      <c r="A17" s="24" t="s">
        <v>55</v>
      </c>
      <c r="B17" s="25" t="s">
        <v>56</v>
      </c>
    </row>
    <row r="18" spans="1:2" x14ac:dyDescent="0.25">
      <c r="A18" s="24" t="s">
        <v>57</v>
      </c>
      <c r="B18" s="25" t="s">
        <v>58</v>
      </c>
    </row>
    <row r="19" spans="1:2" x14ac:dyDescent="0.25">
      <c r="A19" s="24" t="s">
        <v>59</v>
      </c>
      <c r="B19" s="25" t="s">
        <v>60</v>
      </c>
    </row>
    <row r="20" spans="1:2" x14ac:dyDescent="0.25">
      <c r="A20" s="24" t="s">
        <v>61</v>
      </c>
      <c r="B20" s="25" t="s">
        <v>62</v>
      </c>
    </row>
    <row r="21" spans="1:2" x14ac:dyDescent="0.25">
      <c r="A21" s="24" t="s">
        <v>63</v>
      </c>
      <c r="B21" s="25" t="s">
        <v>64</v>
      </c>
    </row>
    <row r="22" spans="1:2" x14ac:dyDescent="0.25">
      <c r="A22" s="24" t="s">
        <v>65</v>
      </c>
      <c r="B22" s="25" t="s">
        <v>66</v>
      </c>
    </row>
    <row r="24" spans="1:2" x14ac:dyDescent="0.25">
      <c r="A24" s="17" t="s">
        <v>67</v>
      </c>
    </row>
    <row r="25" spans="1:2" x14ac:dyDescent="0.25">
      <c r="A25" s="5" t="s">
        <v>68</v>
      </c>
      <c r="B25" s="5"/>
    </row>
    <row r="26" spans="1:2" x14ac:dyDescent="0.25">
      <c r="A26" s="5" t="s">
        <v>69</v>
      </c>
      <c r="B26" s="5"/>
    </row>
    <row r="27" spans="1:2" x14ac:dyDescent="0.25">
      <c r="A27" s="5" t="s">
        <v>70</v>
      </c>
      <c r="B27" s="5"/>
    </row>
    <row r="28" spans="1:2" x14ac:dyDescent="0.25">
      <c r="A28" s="5" t="s">
        <v>71</v>
      </c>
      <c r="B28" s="5"/>
    </row>
    <row r="29" spans="1:2" x14ac:dyDescent="0.25">
      <c r="A29" s="5" t="s">
        <v>72</v>
      </c>
      <c r="B29" s="5"/>
    </row>
    <row r="31" spans="1:2" x14ac:dyDescent="0.25">
      <c r="A31" s="26" t="s">
        <v>73</v>
      </c>
    </row>
    <row r="32" spans="1:2" ht="15" customHeight="1" x14ac:dyDescent="0.25">
      <c r="A32" s="4" t="s">
        <v>74</v>
      </c>
      <c r="B32" s="4"/>
    </row>
    <row r="33" spans="1:2" x14ac:dyDescent="0.25">
      <c r="A33" s="4"/>
      <c r="B33" s="4"/>
    </row>
    <row r="34" spans="1:2" x14ac:dyDescent="0.25">
      <c r="A34" s="4"/>
      <c r="B34" s="4"/>
    </row>
  </sheetData>
  <mergeCells count="7">
    <mergeCell ref="A29:B29"/>
    <mergeCell ref="A32:B34"/>
    <mergeCell ref="A1:B1"/>
    <mergeCell ref="A25:B25"/>
    <mergeCell ref="A26:B26"/>
    <mergeCell ref="A27:B27"/>
    <mergeCell ref="A28:B28"/>
  </mergeCells>
  <pageMargins left="0.4" right="0.4" top="0.5" bottom="0.5"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0"/>
  <sheetViews>
    <sheetView showGridLines="0" zoomScaleNormal="100" workbookViewId="0">
      <pane xSplit="1" ySplit="2" topLeftCell="B3" activePane="bottomRight" state="frozen"/>
      <selection pane="topRight" activeCell="B1" sqref="B1"/>
      <selection pane="bottomLeft" activeCell="A3" sqref="A3"/>
      <selection pane="bottomRight" activeCell="H14" sqref="H14"/>
    </sheetView>
  </sheetViews>
  <sheetFormatPr defaultColWidth="8.7109375" defaultRowHeight="15" x14ac:dyDescent="0.25"/>
  <cols>
    <col min="1" max="1" width="30" customWidth="1"/>
    <col min="2" max="3" width="16" customWidth="1"/>
    <col min="4" max="7" width="13" customWidth="1"/>
    <col min="8" max="8" width="30" customWidth="1"/>
    <col min="9" max="9" width="14" customWidth="1"/>
  </cols>
  <sheetData>
    <row r="1" spans="1:9" ht="18.75" x14ac:dyDescent="0.25">
      <c r="A1" s="6" t="s">
        <v>75</v>
      </c>
      <c r="B1" s="6"/>
      <c r="C1" s="6"/>
      <c r="D1" s="6"/>
      <c r="E1" s="6"/>
      <c r="F1" s="6"/>
      <c r="G1" s="6"/>
      <c r="H1" s="6"/>
      <c r="I1" s="6"/>
    </row>
    <row r="2" spans="1:9" ht="25.5" x14ac:dyDescent="0.25">
      <c r="A2" s="27" t="s">
        <v>76</v>
      </c>
      <c r="B2" s="27" t="s">
        <v>77</v>
      </c>
      <c r="C2" s="27" t="s">
        <v>78</v>
      </c>
      <c r="D2" s="27" t="s">
        <v>79</v>
      </c>
      <c r="E2" s="27" t="s">
        <v>80</v>
      </c>
      <c r="F2" s="27" t="s">
        <v>81</v>
      </c>
      <c r="G2" s="27" t="s">
        <v>82</v>
      </c>
      <c r="H2" s="27" t="s">
        <v>83</v>
      </c>
      <c r="I2" s="27" t="s">
        <v>84</v>
      </c>
    </row>
    <row r="3" spans="1:9" x14ac:dyDescent="0.25">
      <c r="A3" s="28" t="s">
        <v>85</v>
      </c>
      <c r="B3" s="29"/>
      <c r="C3" s="30">
        <v>1408</v>
      </c>
      <c r="D3" s="30">
        <v>1285</v>
      </c>
      <c r="E3" s="30">
        <v>1119</v>
      </c>
      <c r="F3" s="30">
        <v>1382</v>
      </c>
      <c r="G3" s="30">
        <v>1624</v>
      </c>
      <c r="H3" s="102" t="s">
        <v>86</v>
      </c>
      <c r="I3" s="102" t="s">
        <v>87</v>
      </c>
    </row>
    <row r="4" spans="1:9" x14ac:dyDescent="0.25">
      <c r="A4" s="28" t="s">
        <v>88</v>
      </c>
      <c r="B4" s="29"/>
      <c r="C4" s="30">
        <v>1055</v>
      </c>
      <c r="D4" s="30">
        <v>971</v>
      </c>
      <c r="E4" s="30">
        <v>919</v>
      </c>
      <c r="F4" s="30">
        <v>925</v>
      </c>
      <c r="G4" s="30">
        <v>1164</v>
      </c>
      <c r="H4" s="102" t="s">
        <v>86</v>
      </c>
      <c r="I4" s="102" t="s">
        <v>87</v>
      </c>
    </row>
    <row r="5" spans="1:9" x14ac:dyDescent="0.25">
      <c r="A5" s="28" t="s">
        <v>89</v>
      </c>
      <c r="B5" s="29"/>
      <c r="C5" s="30">
        <v>569</v>
      </c>
      <c r="D5" s="30">
        <v>636</v>
      </c>
      <c r="E5" s="30">
        <v>774</v>
      </c>
      <c r="F5" s="30">
        <v>854</v>
      </c>
      <c r="G5" s="30">
        <v>816</v>
      </c>
      <c r="H5" s="102" t="s">
        <v>86</v>
      </c>
      <c r="I5" s="102" t="s">
        <v>87</v>
      </c>
    </row>
    <row r="6" spans="1:9" x14ac:dyDescent="0.25">
      <c r="A6" s="28" t="s">
        <v>90</v>
      </c>
      <c r="B6" s="29"/>
      <c r="C6" s="30">
        <v>564</v>
      </c>
      <c r="D6" s="30">
        <v>576</v>
      </c>
      <c r="E6" s="30">
        <v>570</v>
      </c>
      <c r="F6" s="30">
        <v>520</v>
      </c>
      <c r="G6" s="30">
        <v>460</v>
      </c>
      <c r="H6" s="102" t="s">
        <v>86</v>
      </c>
      <c r="I6" s="102" t="s">
        <v>87</v>
      </c>
    </row>
    <row r="7" spans="1:9" x14ac:dyDescent="0.25">
      <c r="A7" s="28" t="s">
        <v>91</v>
      </c>
      <c r="B7" s="29"/>
      <c r="C7" s="30">
        <v>194</v>
      </c>
      <c r="D7" s="30">
        <v>233</v>
      </c>
      <c r="E7" s="30">
        <v>268</v>
      </c>
      <c r="F7" s="30">
        <v>273</v>
      </c>
      <c r="G7" s="30">
        <v>308</v>
      </c>
      <c r="H7" s="102" t="s">
        <v>86</v>
      </c>
      <c r="I7" s="102" t="s">
        <v>87</v>
      </c>
    </row>
    <row r="8" spans="1:9" x14ac:dyDescent="0.25">
      <c r="A8" s="28" t="s">
        <v>92</v>
      </c>
      <c r="B8" s="29"/>
      <c r="C8" s="30">
        <v>60</v>
      </c>
      <c r="D8" s="30">
        <v>54</v>
      </c>
      <c r="E8" s="30">
        <v>48</v>
      </c>
      <c r="F8" s="30">
        <v>50</v>
      </c>
      <c r="G8" s="30">
        <v>27</v>
      </c>
      <c r="H8" s="102" t="s">
        <v>86</v>
      </c>
      <c r="I8" s="102" t="s">
        <v>87</v>
      </c>
    </row>
    <row r="9" spans="1:9" x14ac:dyDescent="0.25">
      <c r="A9" s="31" t="s">
        <v>93</v>
      </c>
      <c r="B9" s="30">
        <v>7788</v>
      </c>
      <c r="C9" s="32">
        <f>SUM(C3:C8)</f>
        <v>3850</v>
      </c>
      <c r="D9" s="32">
        <f>SUM(D3:D8)</f>
        <v>3755</v>
      </c>
      <c r="E9" s="32">
        <f>SUM(E3:E8)</f>
        <v>3698</v>
      </c>
      <c r="F9" s="32">
        <f>SUM(F3:F8)</f>
        <v>4004</v>
      </c>
      <c r="G9" s="32">
        <f>SUM(G3:G8)</f>
        <v>4399</v>
      </c>
    </row>
    <row r="11" spans="1:9" x14ac:dyDescent="0.25">
      <c r="A11" s="31" t="s">
        <v>94</v>
      </c>
      <c r="B11" s="30">
        <v>3332</v>
      </c>
      <c r="C11" s="30">
        <v>1840</v>
      </c>
      <c r="D11" s="30">
        <v>1747</v>
      </c>
      <c r="E11" s="30">
        <v>1612</v>
      </c>
      <c r="F11" s="30">
        <v>1691</v>
      </c>
      <c r="G11" s="30">
        <v>2009</v>
      </c>
    </row>
    <row r="12" spans="1:9" x14ac:dyDescent="0.25">
      <c r="A12" s="28" t="s">
        <v>95</v>
      </c>
      <c r="C12" s="30">
        <v>1023</v>
      </c>
      <c r="D12" s="30">
        <v>1163</v>
      </c>
      <c r="E12" s="30">
        <v>929</v>
      </c>
      <c r="F12" s="30">
        <v>1110</v>
      </c>
      <c r="G12" s="30">
        <v>1439</v>
      </c>
    </row>
    <row r="13" spans="1:9" x14ac:dyDescent="0.25">
      <c r="A13" s="28" t="s">
        <v>96</v>
      </c>
      <c r="B13" s="30">
        <v>801</v>
      </c>
      <c r="D13" s="33" t="s">
        <v>97</v>
      </c>
      <c r="E13" s="33" t="s">
        <v>97</v>
      </c>
      <c r="F13" s="30">
        <v>487</v>
      </c>
      <c r="G13" s="30">
        <v>591</v>
      </c>
    </row>
    <row r="14" spans="1:9" x14ac:dyDescent="0.25">
      <c r="A14" s="28" t="s">
        <v>98</v>
      </c>
      <c r="B14" s="30">
        <v>1826</v>
      </c>
      <c r="C14" s="30">
        <v>699</v>
      </c>
      <c r="D14" s="30">
        <v>634</v>
      </c>
      <c r="E14" s="30">
        <v>531</v>
      </c>
      <c r="F14" s="30">
        <v>627</v>
      </c>
      <c r="G14" s="30">
        <v>733</v>
      </c>
    </row>
    <row r="15" spans="1:9" x14ac:dyDescent="0.25">
      <c r="A15" s="28" t="s">
        <v>99</v>
      </c>
      <c r="C15" s="30">
        <v>1939</v>
      </c>
      <c r="D15" s="30">
        <v>1923</v>
      </c>
      <c r="E15" s="30">
        <v>1580</v>
      </c>
      <c r="F15" s="30">
        <v>523</v>
      </c>
      <c r="G15" s="30">
        <v>620</v>
      </c>
    </row>
    <row r="16" spans="1:9" x14ac:dyDescent="0.25">
      <c r="A16" s="28" t="s">
        <v>100</v>
      </c>
      <c r="C16" s="30">
        <v>8394</v>
      </c>
      <c r="D16" s="30">
        <v>5073</v>
      </c>
      <c r="E16" s="30">
        <v>3254</v>
      </c>
      <c r="F16" s="30">
        <v>3005</v>
      </c>
      <c r="G16" s="30">
        <v>3413</v>
      </c>
    </row>
    <row r="17" spans="1:7" x14ac:dyDescent="0.25">
      <c r="A17" s="28" t="s">
        <v>101</v>
      </c>
      <c r="C17" s="30"/>
      <c r="D17" s="30"/>
      <c r="E17" s="30"/>
      <c r="F17" s="30"/>
      <c r="G17" s="30">
        <v>1849.2</v>
      </c>
    </row>
    <row r="19" spans="1:7" x14ac:dyDescent="0.25">
      <c r="A19" s="34" t="s">
        <v>102</v>
      </c>
    </row>
    <row r="20" spans="1:7" x14ac:dyDescent="0.25">
      <c r="C20" s="35" t="str">
        <f>IF(SUM(C3:C8)=C9,"OK","CHECK")</f>
        <v>OK</v>
      </c>
      <c r="D20" s="35" t="str">
        <f>IF(SUM(D3:D8)=D9,"OK","CHECK")</f>
        <v>OK</v>
      </c>
      <c r="E20" s="35" t="str">
        <f>IF(SUM(E3:E8)=E9,"OK","CHECK")</f>
        <v>OK</v>
      </c>
      <c r="F20" s="35" t="str">
        <f>IF(SUM(F3:F8)=F9,"OK","CHECK")</f>
        <v>OK</v>
      </c>
    </row>
  </sheetData>
  <mergeCells count="1">
    <mergeCell ref="A1:I1"/>
  </mergeCells>
  <conditionalFormatting sqref="C20">
    <cfRule type="expression" dxfId="30" priority="2">
      <formula>C20="CHECK"</formula>
    </cfRule>
  </conditionalFormatting>
  <conditionalFormatting sqref="D20">
    <cfRule type="expression" dxfId="29" priority="3">
      <formula>D20="CHECK"</formula>
    </cfRule>
  </conditionalFormatting>
  <conditionalFormatting sqref="E20">
    <cfRule type="expression" dxfId="28" priority="4">
      <formula>E20="CHECK"</formula>
    </cfRule>
  </conditionalFormatting>
  <conditionalFormatting sqref="F20">
    <cfRule type="expression" dxfId="27" priority="5">
      <formula>F20="CHECK"</formula>
    </cfRule>
  </conditionalFormatting>
  <pageMargins left="0.4" right="0.4" top="0.5" bottom="0.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6"/>
  <sheetViews>
    <sheetView showGridLines="0" zoomScaleNormal="100" workbookViewId="0">
      <pane xSplit="1" ySplit="3" topLeftCell="B4" activePane="bottomRight" state="frozen"/>
      <selection pane="topRight" activeCell="B1" sqref="B1"/>
      <selection pane="bottomLeft" activeCell="A4" sqref="A4"/>
      <selection pane="bottomRight" sqref="A1:G1"/>
    </sheetView>
  </sheetViews>
  <sheetFormatPr defaultColWidth="8.7109375" defaultRowHeight="15" x14ac:dyDescent="0.25"/>
  <cols>
    <col min="1" max="1" width="34" customWidth="1"/>
    <col min="2" max="6" width="13" customWidth="1"/>
    <col min="7" max="7" width="12" customWidth="1"/>
    <col min="8" max="11" width="40" customWidth="1"/>
  </cols>
  <sheetData>
    <row r="1" spans="1:7" ht="18.75" x14ac:dyDescent="0.25">
      <c r="A1" s="6" t="s">
        <v>103</v>
      </c>
      <c r="B1" s="6"/>
      <c r="C1" s="6"/>
      <c r="D1" s="6"/>
      <c r="E1" s="6"/>
      <c r="F1" s="6"/>
      <c r="G1" s="6"/>
    </row>
    <row r="3" spans="1:7" x14ac:dyDescent="0.25">
      <c r="A3" s="27" t="s">
        <v>76</v>
      </c>
      <c r="B3" s="27" t="s">
        <v>104</v>
      </c>
      <c r="C3" s="27" t="s">
        <v>79</v>
      </c>
      <c r="D3" s="27" t="s">
        <v>80</v>
      </c>
      <c r="E3" s="27" t="s">
        <v>81</v>
      </c>
      <c r="F3" s="27" t="s">
        <v>82</v>
      </c>
      <c r="G3" s="27" t="s">
        <v>105</v>
      </c>
    </row>
    <row r="4" spans="1:7" x14ac:dyDescent="0.25">
      <c r="A4" s="36" t="s">
        <v>106</v>
      </c>
    </row>
    <row r="5" spans="1:7" x14ac:dyDescent="0.25">
      <c r="A5" s="37" t="s">
        <v>107</v>
      </c>
      <c r="B5" s="38">
        <f>'Raw Financial Data'!C9</f>
        <v>3850</v>
      </c>
      <c r="C5" s="38">
        <f>'Raw Financial Data'!D9</f>
        <v>3755</v>
      </c>
      <c r="D5" s="38">
        <f>'Raw Financial Data'!E9</f>
        <v>3698</v>
      </c>
      <c r="E5" s="38">
        <f>'Raw Financial Data'!F9</f>
        <v>4004</v>
      </c>
      <c r="F5" s="38">
        <f>'Raw Financial Data'!G9</f>
        <v>4399</v>
      </c>
      <c r="G5" s="39">
        <f>IFERROR((F5/B5)^(1/4)-1,"n/a")</f>
        <v>3.3887555957521576E-2</v>
      </c>
    </row>
    <row r="6" spans="1:7" x14ac:dyDescent="0.25">
      <c r="A6" s="40" t="s">
        <v>108</v>
      </c>
      <c r="C6" s="41">
        <f>IFERROR(C5/B5-1,"n/a")</f>
        <v>-2.4675324675324628E-2</v>
      </c>
      <c r="D6" s="41">
        <f>IFERROR(D5/C5-1,"n/a")</f>
        <v>-1.5179760319573909E-2</v>
      </c>
      <c r="E6" s="41">
        <f>IFERROR(E5/D5-1,"n/a")</f>
        <v>8.274743104380744E-2</v>
      </c>
      <c r="F6" s="41">
        <f>IFERROR(F5/E5-1,"n/a")</f>
        <v>9.8651348651348725E-2</v>
      </c>
    </row>
    <row r="7" spans="1:7" x14ac:dyDescent="0.25">
      <c r="A7" s="37" t="s">
        <v>109</v>
      </c>
      <c r="B7" s="38">
        <f>'Raw Financial Data'!C11</f>
        <v>1840</v>
      </c>
      <c r="C7" s="38">
        <f>'Raw Financial Data'!D11</f>
        <v>1747</v>
      </c>
      <c r="D7" s="38">
        <f>'Raw Financial Data'!E11</f>
        <v>1612</v>
      </c>
      <c r="E7" s="38">
        <f>'Raw Financial Data'!F11</f>
        <v>1691</v>
      </c>
      <c r="F7" s="38">
        <f>'Raw Financial Data'!G11</f>
        <v>2009</v>
      </c>
      <c r="G7" s="39">
        <f>IFERROR((F7/B7)^(1/4)-1,"n/a")</f>
        <v>2.2210949048232953E-2</v>
      </c>
    </row>
    <row r="8" spans="1:7" x14ac:dyDescent="0.25">
      <c r="A8" s="40" t="s">
        <v>110</v>
      </c>
      <c r="B8" s="41">
        <f>B7/B5</f>
        <v>0.47792207792207791</v>
      </c>
      <c r="C8" s="41">
        <f>C7/C5</f>
        <v>0.46524633821571237</v>
      </c>
      <c r="D8" s="41">
        <f>D7/D5</f>
        <v>0.43591130340724715</v>
      </c>
      <c r="E8" s="41">
        <f>E7/E5</f>
        <v>0.42232767232767232</v>
      </c>
      <c r="F8" s="41">
        <f>F7/F5</f>
        <v>0.45669470334166856</v>
      </c>
    </row>
    <row r="9" spans="1:7" x14ac:dyDescent="0.25">
      <c r="A9" s="40" t="s">
        <v>111</v>
      </c>
      <c r="B9" s="42">
        <f>'Raw Financial Data'!C12</f>
        <v>1023</v>
      </c>
      <c r="C9" s="42">
        <f>'Raw Financial Data'!D12</f>
        <v>1163</v>
      </c>
      <c r="D9" s="42">
        <f>'Raw Financial Data'!E12</f>
        <v>929</v>
      </c>
      <c r="E9" s="42">
        <f>'Raw Financial Data'!F12</f>
        <v>1110</v>
      </c>
      <c r="F9" s="42">
        <f>'Raw Financial Data'!G12</f>
        <v>1439</v>
      </c>
      <c r="G9" s="41">
        <f>IFERROR((F9/B9)^(1/4)-1,"n/a")</f>
        <v>8.9046165085800544E-2</v>
      </c>
    </row>
    <row r="10" spans="1:7" x14ac:dyDescent="0.25">
      <c r="A10" s="40" t="s">
        <v>112</v>
      </c>
      <c r="B10" s="41">
        <f>B9/B5</f>
        <v>0.26571428571428574</v>
      </c>
      <c r="C10" s="41">
        <f>C9/C5</f>
        <v>0.30972037283621839</v>
      </c>
      <c r="D10" s="41">
        <f>D9/D5</f>
        <v>0.25121687398593834</v>
      </c>
      <c r="E10" s="41">
        <f>E9/E5</f>
        <v>0.27722277722277722</v>
      </c>
      <c r="F10" s="41">
        <f>F9/F5</f>
        <v>0.32711979995453511</v>
      </c>
    </row>
    <row r="11" spans="1:7" x14ac:dyDescent="0.25">
      <c r="A11" s="31" t="s">
        <v>113</v>
      </c>
      <c r="B11" s="38">
        <f>'Raw Financial Data'!B13</f>
        <v>801</v>
      </c>
      <c r="C11" s="43" t="s">
        <v>114</v>
      </c>
      <c r="D11" s="43" t="s">
        <v>115</v>
      </c>
      <c r="E11" s="38">
        <f>'Raw Financial Data'!F13</f>
        <v>487</v>
      </c>
      <c r="F11" s="38">
        <f>'Raw Financial Data'!G13</f>
        <v>591</v>
      </c>
    </row>
    <row r="13" spans="1:7" x14ac:dyDescent="0.25">
      <c r="A13" s="36" t="s">
        <v>116</v>
      </c>
    </row>
    <row r="14" spans="1:7" x14ac:dyDescent="0.25">
      <c r="A14" s="40" t="s">
        <v>98</v>
      </c>
      <c r="B14" s="42">
        <f>'Raw Financial Data'!C14</f>
        <v>699</v>
      </c>
      <c r="C14" s="42">
        <f>'Raw Financial Data'!D14</f>
        <v>634</v>
      </c>
      <c r="D14" s="42">
        <f>'Raw Financial Data'!E14</f>
        <v>531</v>
      </c>
      <c r="E14" s="42">
        <f>'Raw Financial Data'!F14</f>
        <v>627</v>
      </c>
      <c r="F14" s="42">
        <f>'Raw Financial Data'!G14</f>
        <v>733</v>
      </c>
      <c r="G14" s="41">
        <f>IFERROR((F14/B14)^(1/4)-1,"n/a")</f>
        <v>1.1944512597739099E-2</v>
      </c>
    </row>
    <row r="15" spans="1:7" x14ac:dyDescent="0.25">
      <c r="A15" s="37" t="s">
        <v>99</v>
      </c>
      <c r="B15" s="38">
        <f>'Raw Financial Data'!C15</f>
        <v>1939</v>
      </c>
      <c r="C15" s="38">
        <f>'Raw Financial Data'!D15</f>
        <v>1923</v>
      </c>
      <c r="D15" s="38">
        <f>'Raw Financial Data'!E15</f>
        <v>1580</v>
      </c>
      <c r="E15" s="38">
        <f>'Raw Financial Data'!F15</f>
        <v>523</v>
      </c>
      <c r="F15" s="38">
        <f>'Raw Financial Data'!G15</f>
        <v>620</v>
      </c>
      <c r="G15" s="39">
        <f>IFERROR((F15/B15)^(1/4)-1,"n/a")</f>
        <v>-0.24802488271829548</v>
      </c>
    </row>
    <row r="16" spans="1:7" x14ac:dyDescent="0.25">
      <c r="A16" s="40" t="s">
        <v>117</v>
      </c>
      <c r="B16" s="41">
        <f>B15/B5</f>
        <v>0.50363636363636366</v>
      </c>
      <c r="C16" s="41">
        <f>C15/C5</f>
        <v>0.51211717709720372</v>
      </c>
      <c r="D16" s="41">
        <f>D15/D5</f>
        <v>0.42725797728501891</v>
      </c>
      <c r="E16" s="41">
        <f>E15/E5</f>
        <v>0.13061938061938061</v>
      </c>
      <c r="F16" s="41">
        <f>F15/F5</f>
        <v>0.14094112298249603</v>
      </c>
    </row>
    <row r="18" spans="1:7" x14ac:dyDescent="0.25">
      <c r="A18" s="36" t="s">
        <v>118</v>
      </c>
    </row>
    <row r="19" spans="1:7" x14ac:dyDescent="0.25">
      <c r="A19" s="37" t="s">
        <v>100</v>
      </c>
      <c r="B19" s="38">
        <f>'Raw Financial Data'!C16</f>
        <v>8394</v>
      </c>
      <c r="C19" s="38">
        <f>'Raw Financial Data'!D16</f>
        <v>5073</v>
      </c>
      <c r="D19" s="38">
        <f>'Raw Financial Data'!E16</f>
        <v>3254</v>
      </c>
      <c r="E19" s="38">
        <f>'Raw Financial Data'!F16</f>
        <v>3005</v>
      </c>
      <c r="F19" s="38">
        <f>'Raw Financial Data'!G16</f>
        <v>3413</v>
      </c>
      <c r="G19" s="39">
        <f>IFERROR((F19/B19)^(1/4)-1,"n/a")</f>
        <v>-0.20146890773675563</v>
      </c>
    </row>
    <row r="20" spans="1:7" x14ac:dyDescent="0.25">
      <c r="A20" s="40" t="s">
        <v>119</v>
      </c>
      <c r="B20" s="44">
        <f>B19/B7</f>
        <v>4.5619565217391305</v>
      </c>
      <c r="C20" s="44">
        <f>C19/C7</f>
        <v>2.9038351459645106</v>
      </c>
      <c r="D20" s="44">
        <f>D19/D7</f>
        <v>2.0186104218362284</v>
      </c>
      <c r="E20" s="44">
        <f>E19/E7</f>
        <v>1.7770549970431697</v>
      </c>
      <c r="F20" s="44">
        <f>F19/F7</f>
        <v>1.6988551518168242</v>
      </c>
    </row>
    <row r="22" spans="1:7" ht="15" customHeight="1" x14ac:dyDescent="0.25">
      <c r="A22" s="45" t="s">
        <v>120</v>
      </c>
      <c r="B22" s="3" t="s">
        <v>121</v>
      </c>
      <c r="C22" s="3"/>
      <c r="D22" s="3"/>
      <c r="E22" s="3"/>
      <c r="F22" s="3"/>
      <c r="G22" s="3"/>
    </row>
    <row r="23" spans="1:7" ht="22.35" customHeight="1" x14ac:dyDescent="0.25">
      <c r="A23" s="45" t="s">
        <v>122</v>
      </c>
      <c r="B23" s="3" t="s">
        <v>123</v>
      </c>
      <c r="C23" s="3"/>
      <c r="D23" s="3"/>
      <c r="E23" s="3"/>
      <c r="F23" s="3"/>
      <c r="G23" s="3"/>
    </row>
    <row r="25" spans="1:7" x14ac:dyDescent="0.25">
      <c r="A25" s="45" t="s">
        <v>124</v>
      </c>
    </row>
    <row r="26" spans="1:7" x14ac:dyDescent="0.25">
      <c r="B26" s="35" t="str">
        <f>IF(AND(B8&gt;=0,B8&lt;=0.6),"OK","REVIEW")</f>
        <v>OK</v>
      </c>
      <c r="C26" s="35" t="str">
        <f>IF(AND(C8&gt;=0,C8&lt;=0.6),"OK","REVIEW")</f>
        <v>OK</v>
      </c>
      <c r="D26" s="35" t="str">
        <f>IF(AND(D8&gt;=0,D8&lt;=0.6),"OK","REVIEW")</f>
        <v>OK</v>
      </c>
      <c r="E26" s="35" t="str">
        <f>IF(AND(E8&gt;=0,E8&lt;=0.6),"OK","REVIEW")</f>
        <v>OK</v>
      </c>
      <c r="F26" s="35" t="str">
        <f>IF(AND(F8&gt;=0,F8&lt;=0.6),"OK","REVIEW")</f>
        <v>OK</v>
      </c>
    </row>
  </sheetData>
  <mergeCells count="3">
    <mergeCell ref="A1:G1"/>
    <mergeCell ref="B22:G22"/>
    <mergeCell ref="B23:G23"/>
  </mergeCells>
  <conditionalFormatting sqref="B26">
    <cfRule type="expression" dxfId="26" priority="2">
      <formula>B26="REVIEW"</formula>
    </cfRule>
  </conditionalFormatting>
  <conditionalFormatting sqref="C26">
    <cfRule type="expression" dxfId="25" priority="3">
      <formula>C26="REVIEW"</formula>
    </cfRule>
  </conditionalFormatting>
  <conditionalFormatting sqref="D26">
    <cfRule type="expression" dxfId="24" priority="4">
      <formula>D26="REVIEW"</formula>
    </cfRule>
  </conditionalFormatting>
  <conditionalFormatting sqref="E26">
    <cfRule type="expression" dxfId="23" priority="5">
      <formula>E26="REVIEW"</formula>
    </cfRule>
  </conditionalFormatting>
  <conditionalFormatting sqref="F26">
    <cfRule type="expression" dxfId="22" priority="6">
      <formula>F26="REVIEW"</formula>
    </cfRule>
  </conditionalFormatting>
  <conditionalFormatting sqref="B8:F8">
    <cfRule type="colorScale" priority="7">
      <colorScale>
        <cfvo type="min"/>
        <cfvo type="percentile" val="50"/>
        <cfvo type="max"/>
        <color rgb="FFF4CCCC"/>
        <color rgb="FFFFF2CC"/>
        <color rgb="FFD9EAD3"/>
      </colorScale>
    </cfRule>
  </conditionalFormatting>
  <pageMargins left="0.4" right="0.4" top="0.5" bottom="0.5"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3"/>
  <sheetViews>
    <sheetView showGridLines="0" zoomScaleNormal="100" workbookViewId="0">
      <pane xSplit="1" ySplit="3" topLeftCell="B4" activePane="bottomRight" state="frozen"/>
      <selection pane="topRight" activeCell="B1" sqref="B1"/>
      <selection pane="bottomLeft" activeCell="A4" sqref="A4"/>
      <selection pane="bottomRight" activeCell="B9" sqref="B9"/>
    </sheetView>
  </sheetViews>
  <sheetFormatPr defaultColWidth="8.7109375" defaultRowHeight="15" x14ac:dyDescent="0.25"/>
  <cols>
    <col min="1" max="1" width="34" customWidth="1"/>
    <col min="2" max="7" width="13" customWidth="1"/>
  </cols>
  <sheetData>
    <row r="1" spans="1:7" ht="18.75" x14ac:dyDescent="0.25">
      <c r="A1" s="6" t="s">
        <v>125</v>
      </c>
      <c r="B1" s="6"/>
      <c r="C1" s="6"/>
      <c r="D1" s="6"/>
      <c r="E1" s="6"/>
      <c r="F1" s="6"/>
      <c r="G1" s="6"/>
    </row>
    <row r="2" spans="1:7" x14ac:dyDescent="0.25">
      <c r="A2" s="2" t="s">
        <v>126</v>
      </c>
      <c r="B2" s="2"/>
      <c r="C2" s="2"/>
      <c r="D2" s="2"/>
      <c r="E2" s="2"/>
      <c r="F2" s="2"/>
      <c r="G2" s="2"/>
    </row>
    <row r="3" spans="1:7" x14ac:dyDescent="0.25">
      <c r="A3" s="27" t="s">
        <v>127</v>
      </c>
      <c r="B3" s="27" t="s">
        <v>128</v>
      </c>
      <c r="C3" s="27" t="s">
        <v>129</v>
      </c>
      <c r="D3" s="27" t="s">
        <v>130</v>
      </c>
      <c r="E3" s="27" t="s">
        <v>131</v>
      </c>
      <c r="F3" s="27" t="s">
        <v>132</v>
      </c>
    </row>
    <row r="4" spans="1:7" x14ac:dyDescent="0.25">
      <c r="A4" s="36" t="s">
        <v>133</v>
      </c>
    </row>
    <row r="5" spans="1:7" x14ac:dyDescent="0.25">
      <c r="A5" s="40" t="s">
        <v>134</v>
      </c>
      <c r="B5" s="46"/>
      <c r="C5" s="46"/>
      <c r="D5" s="46"/>
      <c r="E5" s="46"/>
      <c r="F5" s="46"/>
    </row>
    <row r="6" spans="1:7" x14ac:dyDescent="0.25">
      <c r="A6" s="40" t="s">
        <v>135</v>
      </c>
      <c r="B6" s="46"/>
      <c r="C6" s="46"/>
      <c r="D6" s="46"/>
      <c r="E6" s="46"/>
      <c r="F6" s="46"/>
    </row>
    <row r="7" spans="1:7" x14ac:dyDescent="0.25">
      <c r="A7" s="40" t="s">
        <v>136</v>
      </c>
      <c r="B7" s="46"/>
      <c r="C7" s="46"/>
      <c r="D7" s="46"/>
      <c r="E7" s="46"/>
      <c r="F7" s="46"/>
    </row>
    <row r="8" spans="1:7" x14ac:dyDescent="0.25">
      <c r="A8" s="40" t="s">
        <v>137</v>
      </c>
      <c r="B8" s="46"/>
      <c r="C8" s="46"/>
      <c r="D8" s="46"/>
      <c r="E8" s="46"/>
      <c r="F8" s="46"/>
    </row>
    <row r="9" spans="1:7" x14ac:dyDescent="0.25">
      <c r="A9" s="40" t="s">
        <v>138</v>
      </c>
      <c r="B9" s="46"/>
      <c r="C9" s="46"/>
      <c r="D9" s="46"/>
      <c r="E9" s="46"/>
      <c r="F9" s="46"/>
    </row>
    <row r="10" spans="1:7" x14ac:dyDescent="0.25">
      <c r="A10" s="40" t="s">
        <v>139</v>
      </c>
      <c r="B10" s="46"/>
      <c r="C10" s="46"/>
      <c r="D10" s="46"/>
      <c r="E10" s="46"/>
      <c r="F10" s="46"/>
    </row>
    <row r="12" spans="1:7" x14ac:dyDescent="0.25">
      <c r="A12" s="36" t="s">
        <v>140</v>
      </c>
    </row>
    <row r="13" spans="1:7" x14ac:dyDescent="0.25">
      <c r="A13" s="40" t="s">
        <v>134</v>
      </c>
      <c r="B13" s="46"/>
      <c r="C13" s="46"/>
      <c r="D13" s="46"/>
      <c r="E13" s="46"/>
      <c r="F13" s="46"/>
    </row>
    <row r="14" spans="1:7" x14ac:dyDescent="0.25">
      <c r="A14" s="40" t="s">
        <v>135</v>
      </c>
      <c r="B14" s="46"/>
      <c r="C14" s="46"/>
      <c r="D14" s="46"/>
      <c r="E14" s="46"/>
      <c r="F14" s="46"/>
    </row>
    <row r="15" spans="1:7" x14ac:dyDescent="0.25">
      <c r="A15" s="40" t="s">
        <v>136</v>
      </c>
      <c r="B15" s="46"/>
      <c r="C15" s="46"/>
      <c r="D15" s="46"/>
      <c r="E15" s="46"/>
      <c r="F15" s="46"/>
    </row>
    <row r="16" spans="1:7" x14ac:dyDescent="0.25">
      <c r="A16" s="40" t="s">
        <v>137</v>
      </c>
      <c r="B16" s="46"/>
      <c r="C16" s="46"/>
      <c r="D16" s="46"/>
      <c r="E16" s="46"/>
      <c r="F16" s="46"/>
    </row>
    <row r="17" spans="1:6" x14ac:dyDescent="0.25">
      <c r="A17" s="40" t="s">
        <v>138</v>
      </c>
      <c r="B17" s="46"/>
      <c r="C17" s="46"/>
      <c r="D17" s="46"/>
      <c r="E17" s="46"/>
      <c r="F17" s="46"/>
    </row>
    <row r="18" spans="1:6" x14ac:dyDescent="0.25">
      <c r="A18" s="40" t="s">
        <v>139</v>
      </c>
      <c r="B18" s="46"/>
      <c r="C18" s="46"/>
      <c r="D18" s="46"/>
      <c r="E18" s="46"/>
      <c r="F18" s="46"/>
    </row>
    <row r="20" spans="1:6" x14ac:dyDescent="0.25">
      <c r="A20" s="36" t="s">
        <v>141</v>
      </c>
    </row>
    <row r="21" spans="1:6" x14ac:dyDescent="0.25">
      <c r="A21" s="40" t="s">
        <v>142</v>
      </c>
      <c r="B21" s="46"/>
      <c r="C21" s="46"/>
      <c r="D21" s="46"/>
      <c r="E21" s="46"/>
      <c r="F21" s="46"/>
    </row>
    <row r="22" spans="1:6" x14ac:dyDescent="0.25">
      <c r="A22" s="40" t="s">
        <v>143</v>
      </c>
      <c r="B22" s="46"/>
      <c r="C22" s="46"/>
      <c r="D22" s="46"/>
      <c r="E22" s="46"/>
      <c r="F22" s="46"/>
    </row>
    <row r="23" spans="1:6" x14ac:dyDescent="0.25">
      <c r="A23" s="40" t="s">
        <v>144</v>
      </c>
      <c r="B23" s="46"/>
      <c r="C23" s="46"/>
      <c r="D23" s="46"/>
      <c r="E23" s="46"/>
      <c r="F23" s="46"/>
    </row>
    <row r="25" spans="1:6" x14ac:dyDescent="0.25">
      <c r="A25" s="36" t="s">
        <v>145</v>
      </c>
    </row>
    <row r="26" spans="1:6" x14ac:dyDescent="0.25">
      <c r="A26" s="40" t="s">
        <v>146</v>
      </c>
      <c r="B26" s="46">
        <v>0</v>
      </c>
    </row>
    <row r="27" spans="1:6" x14ac:dyDescent="0.25">
      <c r="A27" s="40" t="s">
        <v>147</v>
      </c>
      <c r="B27" s="46">
        <v>0</v>
      </c>
    </row>
    <row r="28" spans="1:6" x14ac:dyDescent="0.25">
      <c r="A28" s="40" t="s">
        <v>148</v>
      </c>
      <c r="B28" s="46">
        <v>0</v>
      </c>
    </row>
    <row r="29" spans="1:6" x14ac:dyDescent="0.25">
      <c r="A29" s="40" t="s">
        <v>149</v>
      </c>
      <c r="B29" s="47">
        <v>0</v>
      </c>
    </row>
    <row r="30" spans="1:6" x14ac:dyDescent="0.25">
      <c r="A30" s="40" t="s">
        <v>150</v>
      </c>
      <c r="B30" s="48">
        <f>B26+B29*B27+B28</f>
        <v>0</v>
      </c>
    </row>
    <row r="31" spans="1:6" x14ac:dyDescent="0.25">
      <c r="A31" s="40" t="s">
        <v>151</v>
      </c>
      <c r="B31" s="46">
        <v>0</v>
      </c>
    </row>
    <row r="32" spans="1:6" x14ac:dyDescent="0.25">
      <c r="A32" s="40" t="s">
        <v>152</v>
      </c>
      <c r="B32" s="46">
        <v>0</v>
      </c>
    </row>
    <row r="33" spans="1:6" x14ac:dyDescent="0.25">
      <c r="A33" s="40" t="s">
        <v>153</v>
      </c>
      <c r="B33" s="48">
        <f>B31*(1-B32)</f>
        <v>0</v>
      </c>
    </row>
    <row r="34" spans="1:6" x14ac:dyDescent="0.25">
      <c r="A34" s="40" t="s">
        <v>154</v>
      </c>
      <c r="B34" s="46">
        <v>0</v>
      </c>
    </row>
    <row r="35" spans="1:6" x14ac:dyDescent="0.25">
      <c r="A35" s="40" t="s">
        <v>155</v>
      </c>
      <c r="B35" s="48">
        <f>1-B34</f>
        <v>1</v>
      </c>
    </row>
    <row r="36" spans="1:6" x14ac:dyDescent="0.25">
      <c r="A36" s="40" t="s">
        <v>156</v>
      </c>
      <c r="B36" s="49">
        <f>B30*B35+B33*B34</f>
        <v>0</v>
      </c>
    </row>
    <row r="38" spans="1:6" x14ac:dyDescent="0.25">
      <c r="A38" s="31" t="s">
        <v>157</v>
      </c>
      <c r="B38" s="50"/>
    </row>
    <row r="39" spans="1:6" x14ac:dyDescent="0.25">
      <c r="A39" s="34" t="s">
        <v>158</v>
      </c>
      <c r="B39" s="51" t="str">
        <f>IF(B36&gt;B38,"OK","ERROR: WACC&lt;=g")</f>
        <v>ERROR: WACC&lt;=g</v>
      </c>
    </row>
    <row r="41" spans="1:6" x14ac:dyDescent="0.25">
      <c r="A41" s="36" t="s">
        <v>159</v>
      </c>
    </row>
    <row r="42" spans="1:6" x14ac:dyDescent="0.25">
      <c r="A42" s="40" t="s">
        <v>160</v>
      </c>
      <c r="B42" s="52"/>
      <c r="C42" s="52"/>
      <c r="D42" s="52"/>
      <c r="E42" s="52"/>
      <c r="F42" s="52"/>
    </row>
    <row r="43" spans="1:6" x14ac:dyDescent="0.25">
      <c r="A43" s="40" t="s">
        <v>161</v>
      </c>
      <c r="B43" s="52"/>
      <c r="C43" s="52"/>
      <c r="D43" s="52"/>
      <c r="E43" s="52"/>
      <c r="F43" s="52"/>
    </row>
    <row r="44" spans="1:6" x14ac:dyDescent="0.25">
      <c r="A44" s="40" t="s">
        <v>162</v>
      </c>
      <c r="B44" s="52"/>
      <c r="C44" s="52"/>
      <c r="D44" s="52"/>
      <c r="E44" s="52"/>
      <c r="F44" s="52"/>
    </row>
    <row r="45" spans="1:6" x14ac:dyDescent="0.25">
      <c r="A45" s="40" t="s">
        <v>163</v>
      </c>
      <c r="B45" s="52"/>
      <c r="C45" s="52"/>
      <c r="D45" s="52"/>
      <c r="E45" s="52"/>
      <c r="F45" s="52"/>
    </row>
    <row r="46" spans="1:6" x14ac:dyDescent="0.25">
      <c r="A46" s="40" t="s">
        <v>164</v>
      </c>
      <c r="B46" s="52"/>
      <c r="C46" s="52"/>
      <c r="D46" s="52"/>
      <c r="E46" s="52"/>
      <c r="F46" s="52"/>
    </row>
    <row r="49" spans="1:3" x14ac:dyDescent="0.25">
      <c r="A49" s="53" t="s">
        <v>165</v>
      </c>
    </row>
    <row r="50" spans="1:3" x14ac:dyDescent="0.25">
      <c r="A50" s="28" t="s">
        <v>166</v>
      </c>
      <c r="B50" s="28" t="s">
        <v>167</v>
      </c>
    </row>
    <row r="51" spans="1:3" x14ac:dyDescent="0.25">
      <c r="A51" t="s">
        <v>168</v>
      </c>
      <c r="B51" s="54">
        <v>0</v>
      </c>
      <c r="C51" s="54">
        <f>B30*B35</f>
        <v>0</v>
      </c>
    </row>
    <row r="52" spans="1:3" x14ac:dyDescent="0.25">
      <c r="A52" t="s">
        <v>169</v>
      </c>
      <c r="B52" s="54">
        <f>C51</f>
        <v>0</v>
      </c>
      <c r="C52" s="54">
        <f>B33*B34</f>
        <v>0</v>
      </c>
    </row>
    <row r="53" spans="1:3" x14ac:dyDescent="0.25">
      <c r="A53" t="s">
        <v>170</v>
      </c>
      <c r="B53" s="54">
        <v>0</v>
      </c>
      <c r="C53" s="54">
        <f>B36</f>
        <v>0</v>
      </c>
    </row>
  </sheetData>
  <mergeCells count="2">
    <mergeCell ref="A1:G1"/>
    <mergeCell ref="A2:G2"/>
  </mergeCells>
  <conditionalFormatting sqref="B39">
    <cfRule type="expression" dxfId="21" priority="2">
      <formula>ISNUMBER(SEARCH("ERROR",B39))</formula>
    </cfRule>
  </conditionalFormatting>
  <pageMargins left="0.4" right="0.4" top="0.5" bottom="0.5" header="0.511811023622047" footer="0.511811023622047"/>
  <pageSetup fitToHeight="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16"/>
  <sheetViews>
    <sheetView showGridLines="0" zoomScaleNormal="100" workbookViewId="0">
      <pane xSplit="1" ySplit="2" topLeftCell="B3" activePane="bottomRight" state="frozen"/>
      <selection pane="topRight" activeCell="B1" sqref="B1"/>
      <selection pane="bottomLeft" activeCell="A3" sqref="A3"/>
      <selection pane="bottomRight" activeCell="F30" sqref="F30"/>
    </sheetView>
  </sheetViews>
  <sheetFormatPr defaultColWidth="8.7109375" defaultRowHeight="15" x14ac:dyDescent="0.25"/>
  <cols>
    <col min="1" max="1" width="22" customWidth="1"/>
    <col min="2" max="7" width="12" customWidth="1"/>
  </cols>
  <sheetData>
    <row r="1" spans="1:7" ht="18.75" x14ac:dyDescent="0.25">
      <c r="A1" s="6" t="s">
        <v>171</v>
      </c>
      <c r="B1" s="6"/>
      <c r="C1" s="6"/>
      <c r="D1" s="6"/>
      <c r="E1" s="6"/>
      <c r="F1" s="6"/>
      <c r="G1" s="6"/>
    </row>
    <row r="2" spans="1:7" x14ac:dyDescent="0.25">
      <c r="A2" s="27" t="s">
        <v>172</v>
      </c>
      <c r="B2" s="27" t="s">
        <v>173</v>
      </c>
      <c r="C2" s="27" t="s">
        <v>128</v>
      </c>
      <c r="D2" s="27" t="s">
        <v>129</v>
      </c>
      <c r="E2" s="27" t="s">
        <v>130</v>
      </c>
      <c r="F2" s="27" t="s">
        <v>131</v>
      </c>
      <c r="G2" s="27" t="s">
        <v>132</v>
      </c>
    </row>
    <row r="3" spans="1:7" x14ac:dyDescent="0.25">
      <c r="A3" s="28" t="s">
        <v>174</v>
      </c>
      <c r="B3" s="42">
        <f>'Raw Financial Data'!G3</f>
        <v>1624</v>
      </c>
      <c r="C3" s="55">
        <f>B3*(1+Assumptions!B5)</f>
        <v>1624</v>
      </c>
      <c r="D3" s="55">
        <f>C3*(1+Assumptions!C5)</f>
        <v>1624</v>
      </c>
      <c r="E3" s="55">
        <f>D3*(1+Assumptions!D5)</f>
        <v>1624</v>
      </c>
      <c r="F3" s="55">
        <f>E3*(1+Assumptions!E5)</f>
        <v>1624</v>
      </c>
      <c r="G3" s="55">
        <f>F3*(1+Assumptions!F5)</f>
        <v>1624</v>
      </c>
    </row>
    <row r="4" spans="1:7" x14ac:dyDescent="0.25">
      <c r="A4" s="28" t="s">
        <v>175</v>
      </c>
      <c r="B4" s="42">
        <f>'Raw Financial Data'!G4</f>
        <v>1164</v>
      </c>
      <c r="C4" s="55">
        <f>B4*(1+Assumptions!B6)</f>
        <v>1164</v>
      </c>
      <c r="D4" s="55">
        <f>C4*(1+Assumptions!C6)</f>
        <v>1164</v>
      </c>
      <c r="E4" s="55">
        <f>D4*(1+Assumptions!D6)</f>
        <v>1164</v>
      </c>
      <c r="F4" s="55">
        <f>E4*(1+Assumptions!E6)</f>
        <v>1164</v>
      </c>
      <c r="G4" s="55">
        <f>F4*(1+Assumptions!F6)</f>
        <v>1164</v>
      </c>
    </row>
    <row r="5" spans="1:7" x14ac:dyDescent="0.25">
      <c r="A5" s="28" t="s">
        <v>176</v>
      </c>
      <c r="B5" s="42">
        <f>'Raw Financial Data'!G5</f>
        <v>816</v>
      </c>
      <c r="C5" s="55">
        <f>B5*(1+Assumptions!B7)</f>
        <v>816</v>
      </c>
      <c r="D5" s="55">
        <f>C5*(1+Assumptions!C7)</f>
        <v>816</v>
      </c>
      <c r="E5" s="55">
        <f>D5*(1+Assumptions!D7)</f>
        <v>816</v>
      </c>
      <c r="F5" s="55">
        <f>E5*(1+Assumptions!E7)</f>
        <v>816</v>
      </c>
      <c r="G5" s="55">
        <f>F5*(1+Assumptions!F7)</f>
        <v>816</v>
      </c>
    </row>
    <row r="6" spans="1:7" x14ac:dyDescent="0.25">
      <c r="A6" s="28" t="s">
        <v>177</v>
      </c>
      <c r="B6" s="42">
        <f>'Raw Financial Data'!G6</f>
        <v>460</v>
      </c>
      <c r="C6" s="55">
        <f>B6*(1+Assumptions!B8)</f>
        <v>460</v>
      </c>
      <c r="D6" s="55">
        <f>C6*(1+Assumptions!C8)</f>
        <v>460</v>
      </c>
      <c r="E6" s="55">
        <f>D6*(1+Assumptions!D8)</f>
        <v>460</v>
      </c>
      <c r="F6" s="55">
        <f>E6*(1+Assumptions!E8)</f>
        <v>460</v>
      </c>
      <c r="G6" s="55">
        <f>F6*(1+Assumptions!F8)</f>
        <v>460</v>
      </c>
    </row>
    <row r="7" spans="1:7" x14ac:dyDescent="0.25">
      <c r="A7" s="28" t="s">
        <v>178</v>
      </c>
      <c r="B7" s="42">
        <f>'Raw Financial Data'!G7</f>
        <v>308</v>
      </c>
      <c r="C7" s="55">
        <f>B7*(1+Assumptions!B9)</f>
        <v>308</v>
      </c>
      <c r="D7" s="55">
        <f>C7*(1+Assumptions!C9)</f>
        <v>308</v>
      </c>
      <c r="E7" s="55">
        <f>D7*(1+Assumptions!D9)</f>
        <v>308</v>
      </c>
      <c r="F7" s="55">
        <f>E7*(1+Assumptions!E9)</f>
        <v>308</v>
      </c>
      <c r="G7" s="55">
        <f>F7*(1+Assumptions!F9)</f>
        <v>308</v>
      </c>
    </row>
    <row r="8" spans="1:7" x14ac:dyDescent="0.25">
      <c r="A8" s="28" t="s">
        <v>179</v>
      </c>
      <c r="B8" s="42">
        <f>'Raw Financial Data'!G8</f>
        <v>27</v>
      </c>
      <c r="C8" s="55">
        <f>B8*(1+Assumptions!B10)</f>
        <v>27</v>
      </c>
      <c r="D8" s="55">
        <f>C8*(1+Assumptions!C10)</f>
        <v>27</v>
      </c>
      <c r="E8" s="55">
        <f>D8*(1+Assumptions!D10)</f>
        <v>27</v>
      </c>
      <c r="F8" s="55">
        <f>E8*(1+Assumptions!E10)</f>
        <v>27</v>
      </c>
      <c r="G8" s="55">
        <f>F8*(1+Assumptions!F10)</f>
        <v>27</v>
      </c>
    </row>
    <row r="9" spans="1:7" x14ac:dyDescent="0.25">
      <c r="A9" s="31" t="s">
        <v>180</v>
      </c>
      <c r="B9" s="32">
        <f t="shared" ref="B9:G9" si="0">SUM(B3:B8)</f>
        <v>4399</v>
      </c>
      <c r="C9" s="32">
        <f t="shared" si="0"/>
        <v>4399</v>
      </c>
      <c r="D9" s="32">
        <f t="shared" si="0"/>
        <v>4399</v>
      </c>
      <c r="E9" s="32">
        <f t="shared" si="0"/>
        <v>4399</v>
      </c>
      <c r="F9" s="32">
        <f t="shared" si="0"/>
        <v>4399</v>
      </c>
      <c r="G9" s="32">
        <f t="shared" si="0"/>
        <v>4399</v>
      </c>
    </row>
    <row r="10" spans="1:7" x14ac:dyDescent="0.25">
      <c r="A10" s="28" t="s">
        <v>181</v>
      </c>
      <c r="C10" s="41">
        <f>C9/B9-1</f>
        <v>0</v>
      </c>
      <c r="D10" s="41">
        <f>D9/C9-1</f>
        <v>0</v>
      </c>
      <c r="E10" s="41">
        <f>E9/D9-1</f>
        <v>0</v>
      </c>
      <c r="F10" s="41">
        <f>F9/E9-1</f>
        <v>0</v>
      </c>
      <c r="G10" s="41">
        <f>G9/F9-1</f>
        <v>0</v>
      </c>
    </row>
    <row r="12" spans="1:7" x14ac:dyDescent="0.25">
      <c r="A12" s="45" t="s">
        <v>182</v>
      </c>
    </row>
    <row r="13" spans="1:7" x14ac:dyDescent="0.25">
      <c r="B13" s="35" t="str">
        <f t="shared" ref="B13:G13" si="1">IF(ROUND(SUM(B3:B8)-B9,2)=0,"OK","CHECK")</f>
        <v>OK</v>
      </c>
      <c r="C13" s="35" t="str">
        <f t="shared" si="1"/>
        <v>OK</v>
      </c>
      <c r="D13" s="35" t="str">
        <f t="shared" si="1"/>
        <v>OK</v>
      </c>
      <c r="E13" s="35" t="str">
        <f t="shared" si="1"/>
        <v>OK</v>
      </c>
      <c r="F13" s="35" t="str">
        <f t="shared" si="1"/>
        <v>OK</v>
      </c>
      <c r="G13" s="35" t="str">
        <f t="shared" si="1"/>
        <v>OK</v>
      </c>
    </row>
    <row r="15" spans="1:7" x14ac:dyDescent="0.25">
      <c r="A15" s="31" t="s">
        <v>183</v>
      </c>
      <c r="B15" s="56">
        <v>759</v>
      </c>
      <c r="C15" s="56"/>
      <c r="D15" s="56"/>
      <c r="E15" s="56"/>
      <c r="F15" s="56"/>
      <c r="G15" s="56"/>
    </row>
    <row r="16" spans="1:7" x14ac:dyDescent="0.25">
      <c r="A16" s="28" t="s">
        <v>184</v>
      </c>
      <c r="B16" s="41">
        <f t="shared" ref="B16:G16" si="2">B15/B9</f>
        <v>0.17253921345760401</v>
      </c>
      <c r="C16" s="41">
        <f t="shared" si="2"/>
        <v>0</v>
      </c>
      <c r="D16" s="41">
        <f t="shared" si="2"/>
        <v>0</v>
      </c>
      <c r="E16" s="41">
        <f t="shared" si="2"/>
        <v>0</v>
      </c>
      <c r="F16" s="41">
        <f t="shared" si="2"/>
        <v>0</v>
      </c>
      <c r="G16" s="41">
        <f t="shared" si="2"/>
        <v>0</v>
      </c>
    </row>
  </sheetData>
  <mergeCells count="1">
    <mergeCell ref="A1:G1"/>
  </mergeCells>
  <conditionalFormatting sqref="B13">
    <cfRule type="expression" dxfId="20" priority="2">
      <formula>B13="CHECK"</formula>
    </cfRule>
  </conditionalFormatting>
  <conditionalFormatting sqref="C13">
    <cfRule type="expression" dxfId="19" priority="3">
      <formula>C13="CHECK"</formula>
    </cfRule>
  </conditionalFormatting>
  <conditionalFormatting sqref="D13">
    <cfRule type="expression" dxfId="18" priority="4">
      <formula>D13="CHECK"</formula>
    </cfRule>
  </conditionalFormatting>
  <conditionalFormatting sqref="E13">
    <cfRule type="expression" dxfId="17" priority="5">
      <formula>E13="CHECK"</formula>
    </cfRule>
  </conditionalFormatting>
  <conditionalFormatting sqref="F13">
    <cfRule type="expression" dxfId="16" priority="6">
      <formula>F13="CHECK"</formula>
    </cfRule>
  </conditionalFormatting>
  <conditionalFormatting sqref="G13">
    <cfRule type="expression" dxfId="15" priority="7">
      <formula>G13="CHECK"</formula>
    </cfRule>
  </conditionalFormatting>
  <conditionalFormatting sqref="C9:G9">
    <cfRule type="colorScale" priority="8">
      <colorScale>
        <cfvo type="min"/>
        <cfvo type="percentile" val="50"/>
        <cfvo type="max"/>
        <color rgb="FFF4CCCC"/>
        <color rgb="FFFFF2CC"/>
        <color rgb="FFD9EAD3"/>
      </colorScale>
    </cfRule>
  </conditionalFormatting>
  <pageMargins left="0.4" right="0.4" top="0.5" bottom="0.5" header="0.511811023622047" footer="0.511811023622047"/>
  <pageSetup fitToHeight="0"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32"/>
  <sheetViews>
    <sheetView showGridLines="0" zoomScaleNormal="100" workbookViewId="0">
      <pane xSplit="1" ySplit="2" topLeftCell="B3" activePane="bottomRight" state="frozen"/>
      <selection pane="topRight" activeCell="B1" sqref="B1"/>
      <selection pane="bottomLeft" activeCell="A3" sqref="A3"/>
      <selection pane="bottomRight" sqref="A1:G1"/>
    </sheetView>
  </sheetViews>
  <sheetFormatPr defaultColWidth="8.7109375" defaultRowHeight="15" x14ac:dyDescent="0.25"/>
  <cols>
    <col min="1" max="1" width="26" customWidth="1"/>
    <col min="2" max="7" width="12" customWidth="1"/>
  </cols>
  <sheetData>
    <row r="1" spans="1:7" ht="18.75" x14ac:dyDescent="0.25">
      <c r="A1" s="6" t="s">
        <v>185</v>
      </c>
      <c r="B1" s="6"/>
      <c r="C1" s="6"/>
      <c r="D1" s="6"/>
      <c r="E1" s="6"/>
      <c r="F1" s="6"/>
      <c r="G1" s="6"/>
    </row>
    <row r="2" spans="1:7" x14ac:dyDescent="0.25">
      <c r="A2" s="27" t="s">
        <v>76</v>
      </c>
      <c r="B2" s="27" t="s">
        <v>173</v>
      </c>
      <c r="C2" s="27" t="s">
        <v>128</v>
      </c>
      <c r="D2" s="27" t="s">
        <v>129</v>
      </c>
      <c r="E2" s="27" t="s">
        <v>130</v>
      </c>
      <c r="F2" s="27" t="s">
        <v>131</v>
      </c>
      <c r="G2" s="27" t="s">
        <v>132</v>
      </c>
    </row>
    <row r="3" spans="1:7" x14ac:dyDescent="0.25">
      <c r="A3" s="31" t="s">
        <v>186</v>
      </c>
      <c r="B3" s="38">
        <f>'Revenue Forecast'!B9</f>
        <v>4399</v>
      </c>
      <c r="C3" s="38">
        <f>'Revenue Forecast'!C9</f>
        <v>4399</v>
      </c>
      <c r="D3" s="38">
        <f>'Revenue Forecast'!D9</f>
        <v>4399</v>
      </c>
      <c r="E3" s="38">
        <f>'Revenue Forecast'!E9</f>
        <v>4399</v>
      </c>
      <c r="F3" s="38">
        <f>'Revenue Forecast'!F9</f>
        <v>4399</v>
      </c>
      <c r="G3" s="38">
        <f>'Revenue Forecast'!G9</f>
        <v>4399</v>
      </c>
    </row>
    <row r="5" spans="1:7" x14ac:dyDescent="0.25">
      <c r="A5" s="36" t="s">
        <v>187</v>
      </c>
    </row>
    <row r="6" spans="1:7" x14ac:dyDescent="0.25">
      <c r="A6" s="40" t="s">
        <v>134</v>
      </c>
      <c r="B6" s="55">
        <f>0</f>
        <v>0</v>
      </c>
      <c r="C6" s="55">
        <f>'Revenue Forecast'!C3*Assumptions!B13</f>
        <v>0</v>
      </c>
      <c r="D6" s="55">
        <f>'Revenue Forecast'!D3*Assumptions!C13</f>
        <v>0</v>
      </c>
      <c r="E6" s="55">
        <f>'Revenue Forecast'!E3*Assumptions!D13</f>
        <v>0</v>
      </c>
      <c r="F6" s="55">
        <f>'Revenue Forecast'!F3*Assumptions!E13</f>
        <v>0</v>
      </c>
      <c r="G6" s="55">
        <f>'Revenue Forecast'!G3*Assumptions!F13</f>
        <v>0</v>
      </c>
    </row>
    <row r="7" spans="1:7" x14ac:dyDescent="0.25">
      <c r="A7" s="40" t="s">
        <v>135</v>
      </c>
      <c r="B7" s="55">
        <f>0</f>
        <v>0</v>
      </c>
      <c r="C7" s="55">
        <f>'Revenue Forecast'!C4*Assumptions!B14</f>
        <v>0</v>
      </c>
      <c r="D7" s="55">
        <f>'Revenue Forecast'!D4*Assumptions!C14</f>
        <v>0</v>
      </c>
      <c r="E7" s="55">
        <f>'Revenue Forecast'!E4*Assumptions!D14</f>
        <v>0</v>
      </c>
      <c r="F7" s="55">
        <f>'Revenue Forecast'!F4*Assumptions!E14</f>
        <v>0</v>
      </c>
      <c r="G7" s="55">
        <f>'Revenue Forecast'!G4*Assumptions!F14</f>
        <v>0</v>
      </c>
    </row>
    <row r="8" spans="1:7" x14ac:dyDescent="0.25">
      <c r="A8" s="40" t="s">
        <v>136</v>
      </c>
      <c r="B8" s="55">
        <f>0</f>
        <v>0</v>
      </c>
      <c r="C8" s="55">
        <f>'Revenue Forecast'!C5*Assumptions!B15</f>
        <v>0</v>
      </c>
      <c r="D8" s="55">
        <f>'Revenue Forecast'!D5*Assumptions!C15</f>
        <v>0</v>
      </c>
      <c r="E8" s="55">
        <f>'Revenue Forecast'!E5*Assumptions!D15</f>
        <v>0</v>
      </c>
      <c r="F8" s="55">
        <f>'Revenue Forecast'!F5*Assumptions!E15</f>
        <v>0</v>
      </c>
      <c r="G8" s="55">
        <f>'Revenue Forecast'!G5*Assumptions!F15</f>
        <v>0</v>
      </c>
    </row>
    <row r="9" spans="1:7" x14ac:dyDescent="0.25">
      <c r="A9" s="40" t="s">
        <v>137</v>
      </c>
      <c r="B9" s="55">
        <f>0</f>
        <v>0</v>
      </c>
      <c r="C9" s="55">
        <f>'Revenue Forecast'!C6*Assumptions!B16</f>
        <v>0</v>
      </c>
      <c r="D9" s="55">
        <f>'Revenue Forecast'!D6*Assumptions!C16</f>
        <v>0</v>
      </c>
      <c r="E9" s="55">
        <f>'Revenue Forecast'!E6*Assumptions!D16</f>
        <v>0</v>
      </c>
      <c r="F9" s="55">
        <f>'Revenue Forecast'!F6*Assumptions!E16</f>
        <v>0</v>
      </c>
      <c r="G9" s="55">
        <f>'Revenue Forecast'!G6*Assumptions!F16</f>
        <v>0</v>
      </c>
    </row>
    <row r="10" spans="1:7" x14ac:dyDescent="0.25">
      <c r="A10" s="40" t="s">
        <v>138</v>
      </c>
      <c r="B10" s="55">
        <f>0</f>
        <v>0</v>
      </c>
      <c r="C10" s="55">
        <f>'Revenue Forecast'!C7*Assumptions!B17</f>
        <v>0</v>
      </c>
      <c r="D10" s="55">
        <f>'Revenue Forecast'!D7*Assumptions!C17</f>
        <v>0</v>
      </c>
      <c r="E10" s="55">
        <f>'Revenue Forecast'!E7*Assumptions!D17</f>
        <v>0</v>
      </c>
      <c r="F10" s="55">
        <f>'Revenue Forecast'!F7*Assumptions!E17</f>
        <v>0</v>
      </c>
      <c r="G10" s="55">
        <f>'Revenue Forecast'!G7*Assumptions!F17</f>
        <v>0</v>
      </c>
    </row>
    <row r="11" spans="1:7" x14ac:dyDescent="0.25">
      <c r="A11" s="40" t="s">
        <v>139</v>
      </c>
      <c r="B11" s="55">
        <f>0</f>
        <v>0</v>
      </c>
      <c r="C11" s="55">
        <f>'Revenue Forecast'!C8*Assumptions!B18</f>
        <v>0</v>
      </c>
      <c r="D11" s="55">
        <f>'Revenue Forecast'!D8*Assumptions!C18</f>
        <v>0</v>
      </c>
      <c r="E11" s="55">
        <f>'Revenue Forecast'!E8*Assumptions!D18</f>
        <v>0</v>
      </c>
      <c r="F11" s="55">
        <f>'Revenue Forecast'!F8*Assumptions!E18</f>
        <v>0</v>
      </c>
      <c r="G11" s="55">
        <f>'Revenue Forecast'!G8*Assumptions!F18</f>
        <v>0</v>
      </c>
    </row>
    <row r="12" spans="1:7" x14ac:dyDescent="0.25">
      <c r="A12" s="31" t="s">
        <v>188</v>
      </c>
      <c r="B12" s="38">
        <f>'Historical Financial Statements'!F7</f>
        <v>2009</v>
      </c>
      <c r="C12" s="32">
        <f>SUM(C6:C11)</f>
        <v>0</v>
      </c>
      <c r="D12" s="32">
        <f>SUM(D6:D11)</f>
        <v>0</v>
      </c>
      <c r="E12" s="32">
        <f>SUM(E6:E11)</f>
        <v>0</v>
      </c>
      <c r="F12" s="32">
        <f>SUM(F6:F11)</f>
        <v>0</v>
      </c>
      <c r="G12" s="32">
        <f>SUM(G6:G11)</f>
        <v>0</v>
      </c>
    </row>
    <row r="13" spans="1:7" x14ac:dyDescent="0.25">
      <c r="A13" s="28" t="s">
        <v>189</v>
      </c>
      <c r="B13" s="41">
        <f t="shared" ref="B13:G13" si="0">B12/B3</f>
        <v>0.45669470334166856</v>
      </c>
      <c r="C13" s="41">
        <f t="shared" si="0"/>
        <v>0</v>
      </c>
      <c r="D13" s="41">
        <f t="shared" si="0"/>
        <v>0</v>
      </c>
      <c r="E13" s="41">
        <f t="shared" si="0"/>
        <v>0</v>
      </c>
      <c r="F13" s="41">
        <f t="shared" si="0"/>
        <v>0</v>
      </c>
      <c r="G13" s="41">
        <f t="shared" si="0"/>
        <v>0</v>
      </c>
    </row>
    <row r="14" spans="1:7" x14ac:dyDescent="0.25">
      <c r="A14" s="57" t="s">
        <v>190</v>
      </c>
      <c r="B14" s="35" t="str">
        <f t="shared" ref="B14:G14" si="1">IF(B13&lt;=0.6,"OK","REVIEW")</f>
        <v>OK</v>
      </c>
      <c r="C14" s="35" t="str">
        <f t="shared" si="1"/>
        <v>OK</v>
      </c>
      <c r="D14" s="35" t="str">
        <f t="shared" si="1"/>
        <v>OK</v>
      </c>
      <c r="E14" s="35" t="str">
        <f t="shared" si="1"/>
        <v>OK</v>
      </c>
      <c r="F14" s="35" t="str">
        <f t="shared" si="1"/>
        <v>OK</v>
      </c>
      <c r="G14" s="35" t="str">
        <f t="shared" si="1"/>
        <v>OK</v>
      </c>
    </row>
    <row r="16" spans="1:7" x14ac:dyDescent="0.25">
      <c r="A16" s="28" t="s">
        <v>191</v>
      </c>
      <c r="B16" s="55">
        <f>0</f>
        <v>0</v>
      </c>
      <c r="C16" s="55">
        <f>C3*Assumptions!B22</f>
        <v>0</v>
      </c>
      <c r="D16" s="55">
        <f>D3*Assumptions!C22</f>
        <v>0</v>
      </c>
      <c r="E16" s="55">
        <f>E3*Assumptions!D22</f>
        <v>0</v>
      </c>
      <c r="F16" s="55">
        <f>F3*Assumptions!E22</f>
        <v>0</v>
      </c>
      <c r="G16" s="55">
        <f>G3*Assumptions!F22</f>
        <v>0</v>
      </c>
    </row>
    <row r="17" spans="1:7" x14ac:dyDescent="0.25">
      <c r="A17" s="31" t="s">
        <v>192</v>
      </c>
      <c r="B17" s="32">
        <f t="shared" ref="B17:G17" si="2">B12-B16</f>
        <v>2009</v>
      </c>
      <c r="C17" s="32">
        <f t="shared" si="2"/>
        <v>0</v>
      </c>
      <c r="D17" s="32">
        <f t="shared" si="2"/>
        <v>0</v>
      </c>
      <c r="E17" s="32">
        <f t="shared" si="2"/>
        <v>0</v>
      </c>
      <c r="F17" s="32">
        <f t="shared" si="2"/>
        <v>0</v>
      </c>
      <c r="G17" s="32">
        <f t="shared" si="2"/>
        <v>0</v>
      </c>
    </row>
    <row r="19" spans="1:7" x14ac:dyDescent="0.25">
      <c r="A19" s="28" t="s">
        <v>98</v>
      </c>
      <c r="B19" s="42">
        <f>'Historical Financial Statements'!F14</f>
        <v>733</v>
      </c>
      <c r="C19" s="55">
        <f>C3*Assumptions!B23</f>
        <v>0</v>
      </c>
      <c r="D19" s="55">
        <f>D3*Assumptions!C23</f>
        <v>0</v>
      </c>
      <c r="E19" s="55">
        <f>E3*Assumptions!D23</f>
        <v>0</v>
      </c>
      <c r="F19" s="55">
        <f>F3*Assumptions!E23</f>
        <v>0</v>
      </c>
      <c r="G19" s="55">
        <f>G3*Assumptions!F23</f>
        <v>0</v>
      </c>
    </row>
    <row r="20" spans="1:7" x14ac:dyDescent="0.25">
      <c r="A20" s="28" t="s">
        <v>193</v>
      </c>
      <c r="B20" s="56"/>
      <c r="C20" s="56"/>
      <c r="D20" s="56"/>
      <c r="E20" s="56"/>
      <c r="F20" s="56"/>
      <c r="G20" s="56"/>
    </row>
    <row r="21" spans="1:7" x14ac:dyDescent="0.25">
      <c r="A21" s="58" t="s">
        <v>194</v>
      </c>
      <c r="B21" s="59">
        <f>B17*(1-Assumptions!B21)+B16-B19-B20</f>
        <v>1276</v>
      </c>
      <c r="C21" s="59">
        <f>C17*(1-Assumptions!B21)+C16-C19-C20</f>
        <v>0</v>
      </c>
      <c r="D21" s="59">
        <f>D17*(1-Assumptions!B21)+D16-D19-D20</f>
        <v>0</v>
      </c>
      <c r="E21" s="59">
        <f>E17*(1-Assumptions!B21)+E16-E19-E20</f>
        <v>0</v>
      </c>
      <c r="F21" s="59">
        <f>F17*(1-Assumptions!B21)+F16-F19-F20</f>
        <v>0</v>
      </c>
      <c r="G21" s="59">
        <f>G17*(1-Assumptions!B21)+G16-G19-G20</f>
        <v>0</v>
      </c>
    </row>
    <row r="24" spans="1:7" x14ac:dyDescent="0.25">
      <c r="A24" s="53" t="s">
        <v>195</v>
      </c>
    </row>
    <row r="25" spans="1:7" x14ac:dyDescent="0.25">
      <c r="A25" t="s">
        <v>196</v>
      </c>
      <c r="B25" t="s">
        <v>197</v>
      </c>
      <c r="C25" t="s">
        <v>198</v>
      </c>
    </row>
    <row r="26" spans="1:7" x14ac:dyDescent="0.25">
      <c r="A26" t="s">
        <v>199</v>
      </c>
      <c r="B26" s="60">
        <v>0</v>
      </c>
      <c r="C26" s="60">
        <f>B12</f>
        <v>2009</v>
      </c>
    </row>
    <row r="27" spans="1:7" x14ac:dyDescent="0.25">
      <c r="A27" t="s">
        <v>200</v>
      </c>
      <c r="B27" s="60">
        <f>MIN(C26,C26+D27)</f>
        <v>2009</v>
      </c>
      <c r="C27" s="60">
        <f>ABS(D27)</f>
        <v>0</v>
      </c>
      <c r="D27" s="60">
        <f>G6-B6</f>
        <v>0</v>
      </c>
    </row>
    <row r="28" spans="1:7" x14ac:dyDescent="0.25">
      <c r="A28" t="s">
        <v>201</v>
      </c>
      <c r="B28" s="60">
        <f>MIN((C26+D27),(C26+D27)+D28)</f>
        <v>2009</v>
      </c>
      <c r="C28" s="60">
        <f>ABS(D28)</f>
        <v>0</v>
      </c>
      <c r="D28" s="60">
        <f>G7-B7</f>
        <v>0</v>
      </c>
    </row>
    <row r="29" spans="1:7" x14ac:dyDescent="0.25">
      <c r="A29" t="s">
        <v>202</v>
      </c>
      <c r="B29" s="60">
        <f>MIN(((C26+D27)+D28),((C26+D27)+D28)+D29)</f>
        <v>2009</v>
      </c>
      <c r="C29" s="60">
        <f>ABS(D29)</f>
        <v>0</v>
      </c>
      <c r="D29" s="60">
        <f>G8-B8</f>
        <v>0</v>
      </c>
    </row>
    <row r="30" spans="1:7" x14ac:dyDescent="0.25">
      <c r="A30" t="s">
        <v>203</v>
      </c>
      <c r="B30" s="60">
        <f>MIN((((C26+D27)+D28)+D29),(((C26+D27)+D28)+D29)+D30)</f>
        <v>2009</v>
      </c>
      <c r="C30" s="60">
        <f>ABS(D30)</f>
        <v>0</v>
      </c>
      <c r="D30" s="60">
        <f>G9-B9</f>
        <v>0</v>
      </c>
    </row>
    <row r="31" spans="1:7" x14ac:dyDescent="0.25">
      <c r="A31" t="s">
        <v>204</v>
      </c>
      <c r="B31" s="60">
        <f>MIN(((((C26+D27)+D28)+D29)+D30),((((C26+D27)+D28)+D29)+D30)+D31)</f>
        <v>2009</v>
      </c>
      <c r="C31" s="60">
        <f>ABS(D31)</f>
        <v>0</v>
      </c>
      <c r="D31" s="60">
        <f>G10-B10</f>
        <v>0</v>
      </c>
    </row>
    <row r="32" spans="1:7" x14ac:dyDescent="0.25">
      <c r="A32" t="s">
        <v>205</v>
      </c>
      <c r="B32" s="60">
        <v>0</v>
      </c>
      <c r="C32" s="60">
        <f>G12</f>
        <v>0</v>
      </c>
    </row>
  </sheetData>
  <mergeCells count="1">
    <mergeCell ref="A1:G1"/>
  </mergeCells>
  <conditionalFormatting sqref="B14">
    <cfRule type="expression" dxfId="14" priority="2">
      <formula>B14="REVIEW"</formula>
    </cfRule>
  </conditionalFormatting>
  <conditionalFormatting sqref="C14">
    <cfRule type="expression" dxfId="13" priority="3">
      <formula>C14="REVIEW"</formula>
    </cfRule>
  </conditionalFormatting>
  <conditionalFormatting sqref="D14">
    <cfRule type="expression" dxfId="12" priority="4">
      <formula>D14="REVIEW"</formula>
    </cfRule>
  </conditionalFormatting>
  <conditionalFormatting sqref="E14">
    <cfRule type="expression" dxfId="11" priority="5">
      <formula>E14="REVIEW"</formula>
    </cfRule>
  </conditionalFormatting>
  <conditionalFormatting sqref="F14">
    <cfRule type="expression" dxfId="10" priority="6">
      <formula>F14="REVIEW"</formula>
    </cfRule>
  </conditionalFormatting>
  <conditionalFormatting sqref="G14">
    <cfRule type="expression" dxfId="9" priority="7">
      <formula>G14="REVIEW"</formula>
    </cfRule>
  </conditionalFormatting>
  <conditionalFormatting sqref="C13:G13">
    <cfRule type="colorScale" priority="8">
      <colorScale>
        <cfvo type="min"/>
        <cfvo type="percentile" val="50"/>
        <cfvo type="max"/>
        <color rgb="FFF4CCCC"/>
        <color rgb="FFFFF2CC"/>
        <color rgb="FFD9EAD3"/>
      </colorScale>
    </cfRule>
  </conditionalFormatting>
  <pageMargins left="0.4" right="0.4" top="0.5" bottom="0.5" header="0.511811023622047" footer="0.511811023622047"/>
  <pageSetup fitToHeight="0"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8"/>
  <sheetViews>
    <sheetView showGridLines="0" zoomScaleNormal="100" workbookViewId="0">
      <pane xSplit="1" ySplit="3" topLeftCell="B4" activePane="bottomRight" state="frozen"/>
      <selection pane="topRight" activeCell="B1" sqref="B1"/>
      <selection pane="bottomLeft" activeCell="A4" sqref="A4"/>
      <selection pane="bottomRight" sqref="A1:G1"/>
    </sheetView>
  </sheetViews>
  <sheetFormatPr defaultColWidth="8.7109375" defaultRowHeight="15" x14ac:dyDescent="0.25"/>
  <cols>
    <col min="1" max="1" width="30" customWidth="1"/>
    <col min="2" max="6" width="13" customWidth="1"/>
    <col min="7" max="7" width="16" customWidth="1"/>
  </cols>
  <sheetData>
    <row r="1" spans="1:7" ht="18.75" x14ac:dyDescent="0.25">
      <c r="A1" s="6" t="s">
        <v>206</v>
      </c>
      <c r="B1" s="6"/>
      <c r="C1" s="6"/>
      <c r="D1" s="6"/>
      <c r="E1" s="6"/>
      <c r="F1" s="6"/>
      <c r="G1" s="6"/>
    </row>
    <row r="3" spans="1:7" x14ac:dyDescent="0.25">
      <c r="A3" s="27" t="s">
        <v>76</v>
      </c>
      <c r="B3" s="27" t="s">
        <v>128</v>
      </c>
      <c r="C3" s="27" t="s">
        <v>129</v>
      </c>
      <c r="D3" s="27" t="s">
        <v>130</v>
      </c>
      <c r="E3" s="27" t="s">
        <v>131</v>
      </c>
      <c r="F3" s="27" t="s">
        <v>132</v>
      </c>
      <c r="G3" s="27" t="s">
        <v>207</v>
      </c>
    </row>
    <row r="4" spans="1:7" x14ac:dyDescent="0.25">
      <c r="A4" s="31" t="s">
        <v>194</v>
      </c>
      <c r="B4" s="38">
        <f>'Operating Forecast'!C21</f>
        <v>0</v>
      </c>
      <c r="C4" s="38">
        <f>'Operating Forecast'!D21</f>
        <v>0</v>
      </c>
      <c r="D4" s="38">
        <f>'Operating Forecast'!E21</f>
        <v>0</v>
      </c>
      <c r="E4" s="38">
        <f>'Operating Forecast'!F21</f>
        <v>0</v>
      </c>
      <c r="F4" s="38">
        <f>'Operating Forecast'!G21</f>
        <v>0</v>
      </c>
      <c r="G4" s="32">
        <f>F4*(1+Assumptions!B38)</f>
        <v>0</v>
      </c>
    </row>
    <row r="5" spans="1:7" x14ac:dyDescent="0.25">
      <c r="A5" s="28" t="s">
        <v>208</v>
      </c>
      <c r="B5" s="61">
        <f>1</f>
        <v>1</v>
      </c>
      <c r="C5" s="61">
        <f>2</f>
        <v>2</v>
      </c>
      <c r="D5" s="61">
        <f>3</f>
        <v>3</v>
      </c>
      <c r="E5" s="61">
        <f>4</f>
        <v>4</v>
      </c>
      <c r="F5" s="61">
        <f>5</f>
        <v>5</v>
      </c>
    </row>
    <row r="6" spans="1:7" x14ac:dyDescent="0.25">
      <c r="A6" s="28" t="s">
        <v>209</v>
      </c>
      <c r="B6" s="62">
        <f>1/(1+Assumptions!$B$36)^B5</f>
        <v>1</v>
      </c>
      <c r="C6" s="62">
        <f>1/(1+Assumptions!$B$36)^C5</f>
        <v>1</v>
      </c>
      <c r="D6" s="62">
        <f>1/(1+Assumptions!$B$36)^D5</f>
        <v>1</v>
      </c>
      <c r="E6" s="62">
        <f>1/(1+Assumptions!$B$36)^E5</f>
        <v>1</v>
      </c>
      <c r="F6" s="62">
        <f>1/(1+Assumptions!$B$36)^F5</f>
        <v>1</v>
      </c>
    </row>
    <row r="7" spans="1:7" x14ac:dyDescent="0.25">
      <c r="A7" s="28" t="s">
        <v>210</v>
      </c>
      <c r="B7" s="55">
        <f>B4*B6</f>
        <v>0</v>
      </c>
      <c r="C7" s="55">
        <f>C4*C6</f>
        <v>0</v>
      </c>
      <c r="D7" s="55">
        <f>D4*D6</f>
        <v>0</v>
      </c>
      <c r="E7" s="55">
        <f>E4*E6</f>
        <v>0</v>
      </c>
      <c r="F7" s="55">
        <f>F4*F6</f>
        <v>0</v>
      </c>
    </row>
    <row r="9" spans="1:7" x14ac:dyDescent="0.25">
      <c r="A9" s="31" t="s">
        <v>211</v>
      </c>
      <c r="B9" s="32">
        <f>SUM(B7:F7)</f>
        <v>0</v>
      </c>
    </row>
    <row r="10" spans="1:7" x14ac:dyDescent="0.25">
      <c r="A10" s="31" t="s">
        <v>212</v>
      </c>
      <c r="B10" s="32" t="str">
        <f>IFERROR(G4/(Assumptions!$B$36-Assumptions!$B$38),"INPUT REQUIRED")</f>
        <v>INPUT REQUIRED</v>
      </c>
    </row>
    <row r="11" spans="1:7" x14ac:dyDescent="0.25">
      <c r="A11" s="31" t="s">
        <v>213</v>
      </c>
      <c r="B11" s="32" t="str">
        <f>IFERROR(B10*F6,"INPUT REQUIRED")</f>
        <v>INPUT REQUIRED</v>
      </c>
    </row>
    <row r="13" spans="1:7" x14ac:dyDescent="0.25">
      <c r="A13" s="58" t="s">
        <v>214</v>
      </c>
      <c r="B13" s="63" t="str">
        <f>IFERROR(B9+B11,"INPUT REQUIRED")</f>
        <v>INPUT REQUIRED</v>
      </c>
    </row>
    <row r="14" spans="1:7" x14ac:dyDescent="0.25">
      <c r="A14" s="28" t="s">
        <v>215</v>
      </c>
      <c r="B14" s="42">
        <f>-'Historical Financial Statements'!F19</f>
        <v>-3413</v>
      </c>
    </row>
    <row r="15" spans="1:7" x14ac:dyDescent="0.25">
      <c r="A15" s="28" t="s">
        <v>216</v>
      </c>
      <c r="B15" s="56"/>
    </row>
    <row r="16" spans="1:7" x14ac:dyDescent="0.25">
      <c r="A16" s="58" t="s">
        <v>217</v>
      </c>
      <c r="B16" s="63" t="str">
        <f>IFERROR(B13+B14-B15,"INPUT REQUIRED")</f>
        <v>INPUT REQUIRED</v>
      </c>
    </row>
    <row r="17" spans="1:2" x14ac:dyDescent="0.25">
      <c r="A17" s="28" t="s">
        <v>218</v>
      </c>
      <c r="B17" s="64">
        <f>'Raw Financial Data'!G17</f>
        <v>1849.2</v>
      </c>
    </row>
    <row r="18" spans="1:2" x14ac:dyDescent="0.25">
      <c r="A18" s="58" t="s">
        <v>219</v>
      </c>
      <c r="B18" s="65" t="str">
        <f>IFERROR(B16/B17,"INPUT REQUIRED")</f>
        <v>INPUT REQUIRED</v>
      </c>
    </row>
    <row r="19" spans="1:2" x14ac:dyDescent="0.25">
      <c r="A19" s="28" t="s">
        <v>220</v>
      </c>
      <c r="B19" s="66"/>
    </row>
    <row r="20" spans="1:2" x14ac:dyDescent="0.25">
      <c r="A20" s="31" t="s">
        <v>221</v>
      </c>
      <c r="B20" s="39" t="str">
        <f>IFERROR(B18/B19-1,"n/a")</f>
        <v>n/a</v>
      </c>
    </row>
    <row r="22" spans="1:2" x14ac:dyDescent="0.25">
      <c r="A22" s="57" t="s">
        <v>158</v>
      </c>
      <c r="B22" s="35" t="str">
        <f>IF(Assumptions!$B$36&gt;Assumptions!$B$38,"OK","ERROR")</f>
        <v>ERROR</v>
      </c>
    </row>
    <row r="25" spans="1:2" x14ac:dyDescent="0.25">
      <c r="A25" s="53" t="s">
        <v>222</v>
      </c>
    </row>
    <row r="26" spans="1:2" x14ac:dyDescent="0.25">
      <c r="A26" t="s">
        <v>223</v>
      </c>
      <c r="B26" t="s">
        <v>224</v>
      </c>
    </row>
    <row r="27" spans="1:2" x14ac:dyDescent="0.25">
      <c r="A27" t="s">
        <v>225</v>
      </c>
      <c r="B27" s="60">
        <f>B9</f>
        <v>0</v>
      </c>
    </row>
    <row r="28" spans="1:2" x14ac:dyDescent="0.25">
      <c r="A28" t="s">
        <v>213</v>
      </c>
      <c r="B28" s="60" t="str">
        <f>IFERROR(B11,"INPUT REQUIRED")</f>
        <v>INPUT REQUIRED</v>
      </c>
    </row>
  </sheetData>
  <mergeCells count="1">
    <mergeCell ref="A1:G1"/>
  </mergeCells>
  <conditionalFormatting sqref="B20">
    <cfRule type="cellIs" dxfId="8" priority="2" operator="greaterThan">
      <formula>0</formula>
    </cfRule>
    <cfRule type="cellIs" dxfId="7" priority="3" operator="lessThan">
      <formula>0</formula>
    </cfRule>
  </conditionalFormatting>
  <conditionalFormatting sqref="B22">
    <cfRule type="expression" dxfId="6" priority="4">
      <formula>B22="ERROR"</formula>
    </cfRule>
  </conditionalFormatting>
  <pageMargins left="0.4" right="0.4" top="0.5" bottom="0.5" header="0.511811023622047" footer="0.511811023622047"/>
  <pageSetup fitToHeight="0"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19"/>
  <sheetViews>
    <sheetView showGridLines="0" zoomScaleNormal="100" workbookViewId="0">
      <pane xSplit="1" ySplit="2" topLeftCell="B3" activePane="bottomRight" state="frozen"/>
      <selection pane="topRight" activeCell="B1" sqref="B1"/>
      <selection pane="bottomLeft" activeCell="A3" sqref="A3"/>
      <selection pane="bottomRight" sqref="A1:J1"/>
    </sheetView>
  </sheetViews>
  <sheetFormatPr defaultColWidth="8.7109375" defaultRowHeight="15" x14ac:dyDescent="0.25"/>
  <cols>
    <col min="1" max="1" width="26" customWidth="1"/>
    <col min="2" max="2" width="10" customWidth="1"/>
    <col min="3" max="7" width="13" customWidth="1"/>
    <col min="8" max="9" width="11" customWidth="1"/>
    <col min="10" max="10" width="9" customWidth="1"/>
  </cols>
  <sheetData>
    <row r="1" spans="1:10" ht="18.75" x14ac:dyDescent="0.25">
      <c r="A1" s="6" t="s">
        <v>226</v>
      </c>
      <c r="B1" s="6"/>
      <c r="C1" s="6"/>
      <c r="D1" s="6"/>
      <c r="E1" s="6"/>
      <c r="F1" s="6"/>
      <c r="G1" s="6"/>
      <c r="H1" s="6"/>
      <c r="I1" s="6"/>
      <c r="J1" s="6"/>
    </row>
    <row r="2" spans="1:10" x14ac:dyDescent="0.25">
      <c r="A2" s="2" t="s">
        <v>227</v>
      </c>
      <c r="B2" s="2"/>
      <c r="C2" s="2"/>
      <c r="D2" s="2"/>
      <c r="E2" s="2"/>
      <c r="F2" s="2"/>
      <c r="G2" s="2"/>
      <c r="H2" s="2"/>
      <c r="I2" s="2"/>
      <c r="J2" s="2"/>
    </row>
    <row r="3" spans="1:10" x14ac:dyDescent="0.25">
      <c r="A3" s="27" t="s">
        <v>228</v>
      </c>
      <c r="B3" s="27" t="s">
        <v>229</v>
      </c>
      <c r="C3" s="27" t="s">
        <v>230</v>
      </c>
      <c r="D3" s="27" t="s">
        <v>100</v>
      </c>
      <c r="E3" s="27" t="s">
        <v>231</v>
      </c>
      <c r="F3" s="27" t="s">
        <v>107</v>
      </c>
      <c r="G3" s="27" t="s">
        <v>109</v>
      </c>
      <c r="H3" s="27" t="s">
        <v>232</v>
      </c>
      <c r="I3" s="27" t="s">
        <v>233</v>
      </c>
      <c r="J3" s="27" t="s">
        <v>234</v>
      </c>
    </row>
    <row r="4" spans="1:10" x14ac:dyDescent="0.25">
      <c r="A4" s="28" t="s">
        <v>235</v>
      </c>
      <c r="B4" s="67" t="s">
        <v>236</v>
      </c>
      <c r="C4" s="56"/>
      <c r="D4" s="56"/>
      <c r="E4" s="55">
        <f t="shared" ref="E4:E12" si="0">C4+D4</f>
        <v>0</v>
      </c>
      <c r="F4" s="56"/>
      <c r="G4" s="56"/>
      <c r="H4" s="68" t="str">
        <f t="shared" ref="H4:H12" si="1">IFERROR(E4/G4,"n/a")</f>
        <v>n/a</v>
      </c>
      <c r="I4" s="68" t="str">
        <f t="shared" ref="I4:I12" si="2">IFERROR(E4/F4,"n/a")</f>
        <v>n/a</v>
      </c>
      <c r="J4" s="69"/>
    </row>
    <row r="5" spans="1:10" x14ac:dyDescent="0.25">
      <c r="A5" s="28" t="s">
        <v>237</v>
      </c>
      <c r="B5" s="67" t="s">
        <v>238</v>
      </c>
      <c r="C5" s="56"/>
      <c r="D5" s="56"/>
      <c r="E5" s="55">
        <f t="shared" si="0"/>
        <v>0</v>
      </c>
      <c r="F5" s="56"/>
      <c r="G5" s="56"/>
      <c r="H5" s="68" t="str">
        <f t="shared" si="1"/>
        <v>n/a</v>
      </c>
      <c r="I5" s="68" t="str">
        <f t="shared" si="2"/>
        <v>n/a</v>
      </c>
      <c r="J5" s="69"/>
    </row>
    <row r="6" spans="1:10" x14ac:dyDescent="0.25">
      <c r="A6" s="28" t="s">
        <v>239</v>
      </c>
      <c r="B6" s="67" t="s">
        <v>240</v>
      </c>
      <c r="C6" s="56"/>
      <c r="D6" s="56"/>
      <c r="E6" s="55">
        <f t="shared" si="0"/>
        <v>0</v>
      </c>
      <c r="F6" s="56"/>
      <c r="G6" s="56"/>
      <c r="H6" s="68" t="str">
        <f t="shared" si="1"/>
        <v>n/a</v>
      </c>
      <c r="I6" s="68" t="str">
        <f t="shared" si="2"/>
        <v>n/a</v>
      </c>
      <c r="J6" s="69"/>
    </row>
    <row r="7" spans="1:10" x14ac:dyDescent="0.25">
      <c r="A7" s="28" t="s">
        <v>241</v>
      </c>
      <c r="B7" s="67" t="s">
        <v>242</v>
      </c>
      <c r="C7" s="56"/>
      <c r="D7" s="56"/>
      <c r="E7" s="55">
        <f t="shared" si="0"/>
        <v>0</v>
      </c>
      <c r="F7" s="56"/>
      <c r="G7" s="56"/>
      <c r="H7" s="68" t="str">
        <f t="shared" si="1"/>
        <v>n/a</v>
      </c>
      <c r="I7" s="68" t="str">
        <f t="shared" si="2"/>
        <v>n/a</v>
      </c>
      <c r="J7" s="69"/>
    </row>
    <row r="8" spans="1:10" x14ac:dyDescent="0.25">
      <c r="A8" s="28" t="s">
        <v>243</v>
      </c>
      <c r="B8" s="67" t="s">
        <v>244</v>
      </c>
      <c r="C8" s="56"/>
      <c r="D8" s="56"/>
      <c r="E8" s="55">
        <f t="shared" si="0"/>
        <v>0</v>
      </c>
      <c r="F8" s="56"/>
      <c r="G8" s="56"/>
      <c r="H8" s="68" t="str">
        <f t="shared" si="1"/>
        <v>n/a</v>
      </c>
      <c r="I8" s="68" t="str">
        <f t="shared" si="2"/>
        <v>n/a</v>
      </c>
      <c r="J8" s="69"/>
    </row>
    <row r="9" spans="1:10" x14ac:dyDescent="0.25">
      <c r="A9" s="28" t="s">
        <v>245</v>
      </c>
      <c r="B9" s="67" t="s">
        <v>246</v>
      </c>
      <c r="C9" s="56"/>
      <c r="D9" s="56"/>
      <c r="E9" s="55">
        <f t="shared" si="0"/>
        <v>0</v>
      </c>
      <c r="F9" s="56"/>
      <c r="G9" s="56"/>
      <c r="H9" s="68" t="str">
        <f t="shared" si="1"/>
        <v>n/a</v>
      </c>
      <c r="I9" s="68" t="str">
        <f t="shared" si="2"/>
        <v>n/a</v>
      </c>
      <c r="J9" s="69"/>
    </row>
    <row r="10" spans="1:10" x14ac:dyDescent="0.25">
      <c r="A10" s="28" t="s">
        <v>247</v>
      </c>
      <c r="B10" s="67" t="s">
        <v>248</v>
      </c>
      <c r="C10" s="56"/>
      <c r="D10" s="56"/>
      <c r="E10" s="55">
        <f t="shared" si="0"/>
        <v>0</v>
      </c>
      <c r="F10" s="56"/>
      <c r="G10" s="56"/>
      <c r="H10" s="68" t="str">
        <f t="shared" si="1"/>
        <v>n/a</v>
      </c>
      <c r="I10" s="68" t="str">
        <f t="shared" si="2"/>
        <v>n/a</v>
      </c>
      <c r="J10" s="69"/>
    </row>
    <row r="11" spans="1:10" x14ac:dyDescent="0.25">
      <c r="A11" s="28" t="s">
        <v>249</v>
      </c>
      <c r="B11" s="67" t="s">
        <v>250</v>
      </c>
      <c r="C11" s="56"/>
      <c r="D11" s="56"/>
      <c r="E11" s="55">
        <f t="shared" si="0"/>
        <v>0</v>
      </c>
      <c r="F11" s="56"/>
      <c r="G11" s="56"/>
      <c r="H11" s="68" t="str">
        <f t="shared" si="1"/>
        <v>n/a</v>
      </c>
      <c r="I11" s="68" t="str">
        <f t="shared" si="2"/>
        <v>n/a</v>
      </c>
      <c r="J11" s="69"/>
    </row>
    <row r="12" spans="1:10" x14ac:dyDescent="0.25">
      <c r="A12" s="70" t="s">
        <v>251</v>
      </c>
      <c r="B12" s="70" t="s">
        <v>252</v>
      </c>
      <c r="C12" s="71"/>
      <c r="D12" s="72">
        <f>'Historical Financial Statements'!F19</f>
        <v>3413</v>
      </c>
      <c r="E12" s="73">
        <f t="shared" si="0"/>
        <v>3413</v>
      </c>
      <c r="F12" s="72">
        <f>'Historical Financial Statements'!F5</f>
        <v>4399</v>
      </c>
      <c r="G12" s="72">
        <f>'Historical Financial Statements'!F7</f>
        <v>2009</v>
      </c>
      <c r="H12" s="74">
        <f t="shared" si="1"/>
        <v>1.6988551518168242</v>
      </c>
      <c r="I12" s="74">
        <f t="shared" si="2"/>
        <v>0.77585814957944987</v>
      </c>
      <c r="J12" s="75"/>
    </row>
    <row r="14" spans="1:10" x14ac:dyDescent="0.25">
      <c r="A14" s="31" t="s">
        <v>253</v>
      </c>
      <c r="H14" s="76" t="str">
        <f>IFERROR(MEDIAN(H4:H11),"INPUT REQUIRED")</f>
        <v>INPUT REQUIRED</v>
      </c>
      <c r="I14" s="76" t="str">
        <f>IFERROR(MEDIAN(I4:I11),"INPUT REQUIRED")</f>
        <v>INPUT REQUIRED</v>
      </c>
      <c r="J14" s="76" t="str">
        <f>IFERROR(MEDIAN(J4:J11),"INPUT REQUIRED")</f>
        <v>INPUT REQUIRED</v>
      </c>
    </row>
    <row r="15" spans="1:10" x14ac:dyDescent="0.25">
      <c r="A15" s="31" t="s">
        <v>254</v>
      </c>
      <c r="H15" s="76" t="str">
        <f>IFERROR(AVERAGE(H4:H11),"INPUT REQUIRED")</f>
        <v>INPUT REQUIRED</v>
      </c>
      <c r="I15" s="76" t="str">
        <f>IFERROR(AVERAGE(I4:I11),"INPUT REQUIRED")</f>
        <v>INPUT REQUIRED</v>
      </c>
      <c r="J15" s="76" t="str">
        <f>IFERROR(AVERAGE(J4:J11),"INPUT REQUIRED")</f>
        <v>INPUT REQUIRED</v>
      </c>
    </row>
    <row r="17" spans="1:9" x14ac:dyDescent="0.25">
      <c r="A17" s="58" t="s">
        <v>255</v>
      </c>
      <c r="B17" s="59" t="str">
        <f>IFERROR(G12*H14,"INPUT REQUIRED")</f>
        <v>INPUT REQUIRED</v>
      </c>
    </row>
    <row r="18" spans="1:9" x14ac:dyDescent="0.25">
      <c r="A18" s="57" t="s">
        <v>256</v>
      </c>
    </row>
    <row r="19" spans="1:9" x14ac:dyDescent="0.25">
      <c r="H19" s="77" t="str">
        <f>IFERROR(IF(COUNTIF(H4:H11,"&gt;"&amp;2*H14)&gt;0,"OUTLIER PRESENT","OK"),"INPUT REQUIRED")</f>
        <v>OK</v>
      </c>
      <c r="I19" s="77" t="str">
        <f>IFERROR(IF(COUNTIF(I4:I11,"&gt;"&amp;2*I14)&gt;0,"OUTLIER PRESENT","OK"),"INPUT REQUIRED")</f>
        <v>OK</v>
      </c>
    </row>
  </sheetData>
  <mergeCells count="2">
    <mergeCell ref="A1:J1"/>
    <mergeCell ref="A2:J2"/>
  </mergeCells>
  <conditionalFormatting sqref="H4:J11">
    <cfRule type="colorScale" priority="2">
      <colorScale>
        <cfvo type="min"/>
        <cfvo type="percentile" val="50"/>
        <cfvo type="max"/>
        <color rgb="FFD9EAD3"/>
        <color rgb="FFFFF2CC"/>
        <color rgb="FFF4CCCC"/>
      </colorScale>
    </cfRule>
  </conditionalFormatting>
  <pageMargins left="0.4" right="0.4" top="0.5" bottom="0.5" header="0.511811023622047" footer="0.511811023622047"/>
  <pageSetup fitToHeight="0" orientation="landscape"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7"/>
  <sheetViews>
    <sheetView showGridLines="0" zoomScaleNormal="100" workbookViewId="0">
      <pane xSplit="1" ySplit="3" topLeftCell="B4" activePane="bottomRight" state="frozen"/>
      <selection pane="topRight" activeCell="B1" sqref="B1"/>
      <selection pane="bottomLeft" activeCell="A4" sqref="A4"/>
      <selection pane="bottomRight" sqref="A1:H1"/>
    </sheetView>
  </sheetViews>
  <sheetFormatPr defaultColWidth="8.7109375" defaultRowHeight="15" x14ac:dyDescent="0.25"/>
  <cols>
    <col min="1" max="1" width="22" customWidth="1"/>
    <col min="2" max="8" width="11" customWidth="1"/>
  </cols>
  <sheetData>
    <row r="1" spans="1:8" ht="18.75" x14ac:dyDescent="0.25">
      <c r="A1" s="6" t="s">
        <v>257</v>
      </c>
      <c r="B1" s="6"/>
      <c r="C1" s="6"/>
      <c r="D1" s="6"/>
      <c r="E1" s="6"/>
      <c r="F1" s="6"/>
      <c r="G1" s="6"/>
      <c r="H1" s="6"/>
    </row>
    <row r="3" spans="1:8" x14ac:dyDescent="0.25">
      <c r="A3" s="1" t="s">
        <v>258</v>
      </c>
      <c r="B3" s="1"/>
      <c r="C3" s="1"/>
      <c r="D3" s="1"/>
      <c r="E3" s="1"/>
      <c r="F3" s="1"/>
      <c r="G3" s="1"/>
      <c r="H3" s="1"/>
    </row>
    <row r="4" spans="1:8" x14ac:dyDescent="0.25">
      <c r="A4" s="27" t="s">
        <v>259</v>
      </c>
      <c r="B4" s="78">
        <f>Assumptions!$B$38+(-0.01)</f>
        <v>-0.01</v>
      </c>
      <c r="C4" s="78">
        <f>Assumptions!$B$38+(-0.005)</f>
        <v>-5.0000000000000001E-3</v>
      </c>
      <c r="D4" s="78">
        <f>Assumptions!$B$38+(0)</f>
        <v>0</v>
      </c>
      <c r="E4" s="78">
        <f>Assumptions!$B$38+(0.005)</f>
        <v>5.0000000000000001E-3</v>
      </c>
      <c r="F4" s="78">
        <f>Assumptions!$B$38+(0.01)</f>
        <v>0.01</v>
      </c>
    </row>
    <row r="5" spans="1:8" x14ac:dyDescent="0.25">
      <c r="A5" s="79">
        <f>Assumptions!$B$36+(-0.02)</f>
        <v>-0.02</v>
      </c>
      <c r="B5" s="80">
        <f>IFERROR((NPV($A5,'DCF Valuation'!$B$4:$F$4)+('DCF Valuation'!$G$4/($A5-B$4))/(1+$A5)^5+'DCF Valuation'!$B$14-'DCF Valuation'!$B$15)/'DCF Valuation'!$B$17,"n/a")</f>
        <v>-1.8456629894008219</v>
      </c>
      <c r="C5" s="80">
        <f>IFERROR((NPV($A5,'DCF Valuation'!$B$4:$F$4)+('DCF Valuation'!$G$4/($A5-C$4))/(1+$A5)^5+'DCF Valuation'!$B$14-'DCF Valuation'!$B$15)/'DCF Valuation'!$B$17,"n/a")</f>
        <v>-1.8456629894008219</v>
      </c>
      <c r="D5" s="80">
        <f>IFERROR((NPV($A5,'DCF Valuation'!$B$4:$F$4)+('DCF Valuation'!$G$4/($A5-D$4))/(1+$A5)^5+'DCF Valuation'!$B$14-'DCF Valuation'!$B$15)/'DCF Valuation'!$B$17,"n/a")</f>
        <v>-1.8456629894008219</v>
      </c>
      <c r="E5" s="80">
        <f>IFERROR((NPV($A5,'DCF Valuation'!$B$4:$F$4)+('DCF Valuation'!$G$4/($A5-E$4))/(1+$A5)^5+'DCF Valuation'!$B$14-'DCF Valuation'!$B$15)/'DCF Valuation'!$B$17,"n/a")</f>
        <v>-1.8456629894008219</v>
      </c>
      <c r="F5" s="80">
        <f>IFERROR((NPV($A5,'DCF Valuation'!$B$4:$F$4)+('DCF Valuation'!$G$4/($A5-F$4))/(1+$A5)^5+'DCF Valuation'!$B$14-'DCF Valuation'!$B$15)/'DCF Valuation'!$B$17,"n/a")</f>
        <v>-1.8456629894008219</v>
      </c>
    </row>
    <row r="6" spans="1:8" x14ac:dyDescent="0.25">
      <c r="A6" s="79">
        <f>Assumptions!$B$36+(-0.01)</f>
        <v>-0.01</v>
      </c>
      <c r="B6" s="80" t="str">
        <f>IFERROR((NPV($A6,'DCF Valuation'!$B$4:$F$4)+('DCF Valuation'!$G$4/($A6-B$4))/(1+$A6)^5+'DCF Valuation'!$B$14-'DCF Valuation'!$B$15)/'DCF Valuation'!$B$17,"n/a")</f>
        <v>n/a</v>
      </c>
      <c r="C6" s="80">
        <f>IFERROR((NPV($A6,'DCF Valuation'!$B$4:$F$4)+('DCF Valuation'!$G$4/($A6-C$4))/(1+$A6)^5+'DCF Valuation'!$B$14-'DCF Valuation'!$B$15)/'DCF Valuation'!$B$17,"n/a")</f>
        <v>-1.8456629894008219</v>
      </c>
      <c r="D6" s="80">
        <f>IFERROR((NPV($A6,'DCF Valuation'!$B$4:$F$4)+('DCF Valuation'!$G$4/($A6-D$4))/(1+$A6)^5+'DCF Valuation'!$B$14-'DCF Valuation'!$B$15)/'DCF Valuation'!$B$17,"n/a")</f>
        <v>-1.8456629894008219</v>
      </c>
      <c r="E6" s="80">
        <f>IFERROR((NPV($A6,'DCF Valuation'!$B$4:$F$4)+('DCF Valuation'!$G$4/($A6-E$4))/(1+$A6)^5+'DCF Valuation'!$B$14-'DCF Valuation'!$B$15)/'DCF Valuation'!$B$17,"n/a")</f>
        <v>-1.8456629894008219</v>
      </c>
      <c r="F6" s="80">
        <f>IFERROR((NPV($A6,'DCF Valuation'!$B$4:$F$4)+('DCF Valuation'!$G$4/($A6-F$4))/(1+$A6)^5+'DCF Valuation'!$B$14-'DCF Valuation'!$B$15)/'DCF Valuation'!$B$17,"n/a")</f>
        <v>-1.8456629894008219</v>
      </c>
    </row>
    <row r="7" spans="1:8" x14ac:dyDescent="0.25">
      <c r="A7" s="79">
        <f>Assumptions!$B$36+(0)</f>
        <v>0</v>
      </c>
      <c r="B7" s="80">
        <f>IFERROR((NPV($A7,'DCF Valuation'!$B$4:$F$4)+('DCF Valuation'!$G$4/($A7-B$4))/(1+$A7)^5+'DCF Valuation'!$B$14-'DCF Valuation'!$B$15)/'DCF Valuation'!$B$17,"n/a")</f>
        <v>-1.8456629894008219</v>
      </c>
      <c r="C7" s="80">
        <f>IFERROR((NPV($A7,'DCF Valuation'!$B$4:$F$4)+('DCF Valuation'!$G$4/($A7-C$4))/(1+$A7)^5+'DCF Valuation'!$B$14-'DCF Valuation'!$B$15)/'DCF Valuation'!$B$17,"n/a")</f>
        <v>-1.8456629894008219</v>
      </c>
      <c r="D7" s="81" t="str">
        <f>IFERROR((NPV($A7,'DCF Valuation'!$B$4:$F$4)+('DCF Valuation'!$G$4/($A7-D$4))/(1+$A7)^5+'DCF Valuation'!$B$14-'DCF Valuation'!$B$15)/'DCF Valuation'!$B$17,"n/a")</f>
        <v>n/a</v>
      </c>
      <c r="E7" s="80">
        <f>IFERROR((NPV($A7,'DCF Valuation'!$B$4:$F$4)+('DCF Valuation'!$G$4/($A7-E$4))/(1+$A7)^5+'DCF Valuation'!$B$14-'DCF Valuation'!$B$15)/'DCF Valuation'!$B$17,"n/a")</f>
        <v>-1.8456629894008219</v>
      </c>
      <c r="F7" s="80">
        <f>IFERROR((NPV($A7,'DCF Valuation'!$B$4:$F$4)+('DCF Valuation'!$G$4/($A7-F$4))/(1+$A7)^5+'DCF Valuation'!$B$14-'DCF Valuation'!$B$15)/'DCF Valuation'!$B$17,"n/a")</f>
        <v>-1.8456629894008219</v>
      </c>
    </row>
    <row r="8" spans="1:8" x14ac:dyDescent="0.25">
      <c r="A8" s="79">
        <f>Assumptions!$B$36+(0.01)</f>
        <v>0.01</v>
      </c>
      <c r="B8" s="80">
        <f>IFERROR((NPV($A8,'DCF Valuation'!$B$4:$F$4)+('DCF Valuation'!$G$4/($A8-B$4))/(1+$A8)^5+'DCF Valuation'!$B$14-'DCF Valuation'!$B$15)/'DCF Valuation'!$B$17,"n/a")</f>
        <v>-1.8456629894008219</v>
      </c>
      <c r="C8" s="80">
        <f>IFERROR((NPV($A8,'DCF Valuation'!$B$4:$F$4)+('DCF Valuation'!$G$4/($A8-C$4))/(1+$A8)^5+'DCF Valuation'!$B$14-'DCF Valuation'!$B$15)/'DCF Valuation'!$B$17,"n/a")</f>
        <v>-1.8456629894008219</v>
      </c>
      <c r="D8" s="80">
        <f>IFERROR((NPV($A8,'DCF Valuation'!$B$4:$F$4)+('DCF Valuation'!$G$4/($A8-D$4))/(1+$A8)^5+'DCF Valuation'!$B$14-'DCF Valuation'!$B$15)/'DCF Valuation'!$B$17,"n/a")</f>
        <v>-1.8456629894008219</v>
      </c>
      <c r="E8" s="80">
        <f>IFERROR((NPV($A8,'DCF Valuation'!$B$4:$F$4)+('DCF Valuation'!$G$4/($A8-E$4))/(1+$A8)^5+'DCF Valuation'!$B$14-'DCF Valuation'!$B$15)/'DCF Valuation'!$B$17,"n/a")</f>
        <v>-1.8456629894008219</v>
      </c>
      <c r="F8" s="80" t="str">
        <f>IFERROR((NPV($A8,'DCF Valuation'!$B$4:$F$4)+('DCF Valuation'!$G$4/($A8-F$4))/(1+$A8)^5+'DCF Valuation'!$B$14-'DCF Valuation'!$B$15)/'DCF Valuation'!$B$17,"n/a")</f>
        <v>n/a</v>
      </c>
    </row>
    <row r="9" spans="1:8" x14ac:dyDescent="0.25">
      <c r="A9" s="79">
        <f>Assumptions!$B$36+(0.02)</f>
        <v>0.02</v>
      </c>
      <c r="B9" s="80">
        <f>IFERROR((NPV($A9,'DCF Valuation'!$B$4:$F$4)+('DCF Valuation'!$G$4/($A9-B$4))/(1+$A9)^5+'DCF Valuation'!$B$14-'DCF Valuation'!$B$15)/'DCF Valuation'!$B$17,"n/a")</f>
        <v>-1.8456629894008219</v>
      </c>
      <c r="C9" s="80">
        <f>IFERROR((NPV($A9,'DCF Valuation'!$B$4:$F$4)+('DCF Valuation'!$G$4/($A9-C$4))/(1+$A9)^5+'DCF Valuation'!$B$14-'DCF Valuation'!$B$15)/'DCF Valuation'!$B$17,"n/a")</f>
        <v>-1.8456629894008219</v>
      </c>
      <c r="D9" s="80">
        <f>IFERROR((NPV($A9,'DCF Valuation'!$B$4:$F$4)+('DCF Valuation'!$G$4/($A9-D$4))/(1+$A9)^5+'DCF Valuation'!$B$14-'DCF Valuation'!$B$15)/'DCF Valuation'!$B$17,"n/a")</f>
        <v>-1.8456629894008219</v>
      </c>
      <c r="E9" s="80">
        <f>IFERROR((NPV($A9,'DCF Valuation'!$B$4:$F$4)+('DCF Valuation'!$G$4/($A9-E$4))/(1+$A9)^5+'DCF Valuation'!$B$14-'DCF Valuation'!$B$15)/'DCF Valuation'!$B$17,"n/a")</f>
        <v>-1.8456629894008219</v>
      </c>
      <c r="F9" s="80">
        <f>IFERROR((NPV($A9,'DCF Valuation'!$B$4:$F$4)+('DCF Valuation'!$G$4/($A9-F$4))/(1+$A9)^5+'DCF Valuation'!$B$14-'DCF Valuation'!$B$15)/'DCF Valuation'!$B$17,"n/a")</f>
        <v>-1.8456629894008219</v>
      </c>
    </row>
    <row r="12" spans="1:8" x14ac:dyDescent="0.25">
      <c r="A12" s="1" t="s">
        <v>260</v>
      </c>
      <c r="B12" s="1"/>
      <c r="C12" s="1"/>
      <c r="D12" s="1"/>
      <c r="E12" s="1"/>
      <c r="F12" s="1"/>
      <c r="G12" s="1"/>
      <c r="H12" s="1"/>
    </row>
    <row r="13" spans="1:8" ht="25.5" x14ac:dyDescent="0.25">
      <c r="A13" s="27" t="s">
        <v>127</v>
      </c>
      <c r="B13" s="27" t="s">
        <v>261</v>
      </c>
      <c r="C13" s="27" t="s">
        <v>262</v>
      </c>
      <c r="D13" s="27" t="s">
        <v>263</v>
      </c>
      <c r="E13" s="27" t="s">
        <v>264</v>
      </c>
    </row>
    <row r="14" spans="1:8" x14ac:dyDescent="0.25">
      <c r="A14" s="28" t="s">
        <v>265</v>
      </c>
      <c r="B14" s="82">
        <f>IFERROR(MIN(B5:F9),"INPUT REQUIRED")</f>
        <v>-1.8456629894008219</v>
      </c>
      <c r="C14" s="82" t="str">
        <f>IFERROR('DCF Valuation'!$B$18,"INPUT REQUIRED")</f>
        <v>INPUT REQUIRED</v>
      </c>
      <c r="D14" s="82">
        <f>IFERROR(MAX(B5:F9),"INPUT REQUIRED")</f>
        <v>-1.8456629894008219</v>
      </c>
      <c r="E14" s="82">
        <f>IFERROR(D14-B14,"INPUT REQUIRED")</f>
        <v>0</v>
      </c>
    </row>
    <row r="15" spans="1:8" x14ac:dyDescent="0.25">
      <c r="A15" s="28" t="s">
        <v>266</v>
      </c>
      <c r="B15" s="82">
        <f>IFERROR(MIN(B5:F9),"INPUT REQUIRED")</f>
        <v>-1.8456629894008219</v>
      </c>
      <c r="C15" s="82" t="str">
        <f>IFERROR('DCF Valuation'!$B$18,"INPUT REQUIRED")</f>
        <v>INPUT REQUIRED</v>
      </c>
      <c r="D15" s="82">
        <f>IFERROR(MAX(B5:F9),"INPUT REQUIRED")</f>
        <v>-1.8456629894008219</v>
      </c>
      <c r="E15" s="82">
        <f>IFERROR(D15-B15,"INPUT REQUIRED")</f>
        <v>0</v>
      </c>
    </row>
    <row r="16" spans="1:8" x14ac:dyDescent="0.25">
      <c r="A16" s="28" t="s">
        <v>267</v>
      </c>
      <c r="B16" s="82">
        <f>IFERROR(MIN(B5:F9),"INPUT REQUIRED")</f>
        <v>-1.8456629894008219</v>
      </c>
      <c r="C16" s="82" t="str">
        <f>IFERROR('DCF Valuation'!$B$18,"INPUT REQUIRED")</f>
        <v>INPUT REQUIRED</v>
      </c>
      <c r="D16" s="82">
        <f>IFERROR(MAX(B5:F9),"INPUT REQUIRED")</f>
        <v>-1.8456629894008219</v>
      </c>
      <c r="E16" s="82">
        <f>IFERROR(D16-B16,"INPUT REQUIRED")</f>
        <v>0</v>
      </c>
    </row>
    <row r="17" spans="1:5" x14ac:dyDescent="0.25">
      <c r="A17" s="28" t="s">
        <v>268</v>
      </c>
      <c r="B17" s="82">
        <f>IFERROR(MIN(B5:F9),"INPUT REQUIRED")</f>
        <v>-1.8456629894008219</v>
      </c>
      <c r="C17" s="82" t="str">
        <f>IFERROR('DCF Valuation'!$B$18,"INPUT REQUIRED")</f>
        <v>INPUT REQUIRED</v>
      </c>
      <c r="D17" s="82">
        <f>IFERROR(MAX(B5:F9),"INPUT REQUIRED")</f>
        <v>-1.8456629894008219</v>
      </c>
      <c r="E17" s="82">
        <f>IFERROR(D17-B17,"INPUT REQUIRED")</f>
        <v>0</v>
      </c>
    </row>
  </sheetData>
  <mergeCells count="3">
    <mergeCell ref="A1:H1"/>
    <mergeCell ref="A3:H3"/>
    <mergeCell ref="A12:H12"/>
  </mergeCells>
  <conditionalFormatting sqref="B5:F9">
    <cfRule type="colorScale" priority="2">
      <colorScale>
        <cfvo type="min"/>
        <cfvo type="percentile" val="50"/>
        <cfvo type="max"/>
        <color rgb="FFF4CCCC"/>
        <color rgb="FFFFF2CC"/>
        <color rgb="FFD9EAD3"/>
      </colorScale>
    </cfRule>
  </conditionalFormatting>
  <pageMargins left="0.4" right="0.4" top="0.5" bottom="0.5" header="0.511811023622047" footer="0.511811023622047"/>
  <pageSetup fitToHeight="0" orientation="landscape"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T51"/>
  <sheetViews>
    <sheetView showGridLines="0" zoomScaleNormal="100" workbookViewId="0">
      <selection sqref="A1:J1"/>
    </sheetView>
  </sheetViews>
  <sheetFormatPr defaultColWidth="8.7109375" defaultRowHeight="15" x14ac:dyDescent="0.25"/>
  <cols>
    <col min="1" max="20" width="6.140625" customWidth="1"/>
  </cols>
  <sheetData>
    <row r="1" spans="1:20" ht="21" x14ac:dyDescent="0.25">
      <c r="A1" s="93" t="s">
        <v>269</v>
      </c>
      <c r="B1" s="93"/>
      <c r="C1" s="93"/>
      <c r="D1" s="93"/>
      <c r="E1" s="93"/>
      <c r="F1" s="93"/>
      <c r="G1" s="93"/>
      <c r="H1" s="93"/>
      <c r="I1" s="93"/>
      <c r="J1" s="93"/>
      <c r="K1" s="94" t="str">
        <f>"As of: "&amp;Cover!E17</f>
        <v>As of: 04-Aug-2026</v>
      </c>
      <c r="L1" s="94"/>
      <c r="M1" s="94"/>
      <c r="N1" s="94"/>
      <c r="O1" s="95" t="s">
        <v>270</v>
      </c>
      <c r="P1" s="95"/>
      <c r="Q1" s="95"/>
      <c r="R1" s="95"/>
      <c r="S1" s="95"/>
      <c r="T1" s="95"/>
    </row>
    <row r="2" spans="1:20" x14ac:dyDescent="0.25">
      <c r="A2" s="13"/>
      <c r="B2" s="13"/>
      <c r="C2" s="13"/>
      <c r="D2" s="13"/>
      <c r="E2" s="13"/>
      <c r="F2" s="13"/>
      <c r="G2" s="13"/>
      <c r="H2" s="13"/>
      <c r="I2" s="13"/>
      <c r="J2" s="13"/>
      <c r="K2" s="13"/>
      <c r="L2" s="13"/>
      <c r="M2" s="13"/>
      <c r="N2" s="13"/>
      <c r="O2" s="13"/>
      <c r="P2" s="13"/>
      <c r="Q2" s="13"/>
      <c r="R2" s="13"/>
      <c r="S2" s="13"/>
      <c r="T2" s="13"/>
    </row>
    <row r="3" spans="1:20" x14ac:dyDescent="0.25">
      <c r="A3" s="13"/>
      <c r="B3" s="13"/>
      <c r="C3" s="13"/>
      <c r="D3" s="13"/>
      <c r="E3" s="13"/>
      <c r="F3" s="13"/>
      <c r="G3" s="13"/>
      <c r="H3" s="13"/>
      <c r="I3" s="13"/>
      <c r="J3" s="13"/>
      <c r="K3" s="13"/>
      <c r="L3" s="13"/>
      <c r="M3" s="13"/>
      <c r="N3" s="13"/>
      <c r="O3" s="13"/>
      <c r="P3" s="13"/>
      <c r="Q3" s="13"/>
      <c r="R3" s="13"/>
      <c r="S3" s="13"/>
      <c r="T3" s="13"/>
    </row>
    <row r="4" spans="1:20" x14ac:dyDescent="0.25">
      <c r="A4" s="96" t="s">
        <v>271</v>
      </c>
      <c r="B4" s="96"/>
      <c r="C4" s="96"/>
      <c r="D4" s="96"/>
      <c r="E4" s="96" t="s">
        <v>272</v>
      </c>
      <c r="F4" s="96"/>
      <c r="G4" s="96"/>
      <c r="H4" s="96"/>
      <c r="I4" s="96" t="s">
        <v>273</v>
      </c>
      <c r="J4" s="96"/>
      <c r="K4" s="96"/>
      <c r="L4" s="96"/>
      <c r="M4" s="96" t="s">
        <v>274</v>
      </c>
      <c r="N4" s="96"/>
      <c r="O4" s="96"/>
      <c r="P4" s="96"/>
      <c r="Q4" s="96" t="s">
        <v>275</v>
      </c>
      <c r="R4" s="96"/>
      <c r="S4" s="96"/>
      <c r="T4" s="96"/>
    </row>
    <row r="5" spans="1:20" x14ac:dyDescent="0.25">
      <c r="A5" s="83"/>
      <c r="B5" s="83"/>
      <c r="C5" s="83"/>
      <c r="D5" s="83"/>
      <c r="E5" s="83"/>
      <c r="F5" s="83"/>
      <c r="G5" s="83"/>
      <c r="H5" s="83"/>
      <c r="I5" s="83"/>
      <c r="J5" s="83"/>
      <c r="K5" s="83"/>
      <c r="L5" s="83"/>
      <c r="M5" s="83"/>
      <c r="N5" s="83"/>
      <c r="O5" s="83"/>
      <c r="P5" s="83"/>
      <c r="Q5" s="83"/>
      <c r="R5" s="83"/>
      <c r="S5" s="83"/>
      <c r="T5" s="83"/>
    </row>
    <row r="6" spans="1:20" ht="26.25" x14ac:dyDescent="0.25">
      <c r="A6" s="97">
        <f>'Trading Comparables'!C12</f>
        <v>0</v>
      </c>
      <c r="B6" s="97"/>
      <c r="C6" s="97"/>
      <c r="D6" s="97"/>
      <c r="E6" s="97" t="str">
        <f>IFERROR('DCF Valuation'!B13,"INPUT REQUIRED")</f>
        <v>INPUT REQUIRED</v>
      </c>
      <c r="F6" s="97"/>
      <c r="G6" s="97"/>
      <c r="H6" s="97"/>
      <c r="I6" s="98" t="str">
        <f>IFERROR('DCF Valuation'!B18,"INPUT REQUIRED")</f>
        <v>INPUT REQUIRED</v>
      </c>
      <c r="J6" s="98"/>
      <c r="K6" s="98"/>
      <c r="L6" s="98"/>
      <c r="M6" s="97">
        <f>'Historical Financial Statements'!F19</f>
        <v>3413</v>
      </c>
      <c r="N6" s="97"/>
      <c r="O6" s="97"/>
      <c r="P6" s="97"/>
      <c r="Q6" s="99">
        <f>'Historical Financial Statements'!F20</f>
        <v>1.6988551518168242</v>
      </c>
      <c r="R6" s="99"/>
      <c r="S6" s="99"/>
      <c r="T6" s="99"/>
    </row>
    <row r="7" spans="1:20" x14ac:dyDescent="0.25">
      <c r="A7" s="83"/>
      <c r="B7" s="83"/>
      <c r="C7" s="83"/>
      <c r="D7" s="83"/>
      <c r="E7" s="83"/>
      <c r="F7" s="83"/>
      <c r="G7" s="83"/>
      <c r="H7" s="83"/>
      <c r="I7" s="83"/>
      <c r="J7" s="83"/>
      <c r="K7" s="83"/>
      <c r="L7" s="83"/>
      <c r="M7" s="83"/>
      <c r="N7" s="83"/>
      <c r="O7" s="83"/>
      <c r="P7" s="83"/>
      <c r="Q7" s="83"/>
      <c r="R7" s="83"/>
      <c r="S7" s="83"/>
      <c r="T7" s="83"/>
    </row>
    <row r="8" spans="1:20" x14ac:dyDescent="0.25">
      <c r="A8" s="83"/>
      <c r="B8" s="83"/>
      <c r="C8" s="83"/>
      <c r="D8" s="83"/>
      <c r="E8" s="83"/>
      <c r="F8" s="83"/>
      <c r="G8" s="83"/>
      <c r="H8" s="83"/>
      <c r="I8" s="83"/>
      <c r="J8" s="83"/>
      <c r="K8" s="83"/>
      <c r="L8" s="83"/>
      <c r="M8" s="83"/>
      <c r="N8" s="83"/>
      <c r="O8" s="83"/>
      <c r="P8" s="83"/>
      <c r="Q8" s="83"/>
      <c r="R8" s="83"/>
      <c r="S8" s="83"/>
      <c r="T8" s="83"/>
    </row>
    <row r="9" spans="1:20" x14ac:dyDescent="0.25">
      <c r="A9" s="96" t="s">
        <v>276</v>
      </c>
      <c r="B9" s="96"/>
      <c r="C9" s="96"/>
      <c r="D9" s="96"/>
      <c r="E9" s="96" t="s">
        <v>277</v>
      </c>
      <c r="F9" s="96"/>
      <c r="G9" s="96"/>
      <c r="H9" s="96"/>
      <c r="I9" s="96" t="s">
        <v>278</v>
      </c>
      <c r="J9" s="96"/>
      <c r="K9" s="96"/>
      <c r="L9" s="96"/>
      <c r="M9" s="96" t="s">
        <v>279</v>
      </c>
      <c r="N9" s="96"/>
      <c r="O9" s="96"/>
      <c r="P9" s="96"/>
      <c r="Q9" s="96" t="s">
        <v>280</v>
      </c>
      <c r="R9" s="96"/>
      <c r="S9" s="96"/>
      <c r="T9" s="96"/>
    </row>
    <row r="10" spans="1:20" x14ac:dyDescent="0.25">
      <c r="A10" s="83"/>
      <c r="B10" s="83"/>
      <c r="C10" s="83"/>
      <c r="D10" s="83"/>
      <c r="E10" s="83"/>
      <c r="F10" s="83"/>
      <c r="G10" s="83"/>
      <c r="H10" s="83"/>
      <c r="I10" s="83"/>
      <c r="J10" s="83"/>
      <c r="K10" s="83"/>
      <c r="L10" s="83"/>
      <c r="M10" s="83"/>
      <c r="N10" s="83"/>
      <c r="O10" s="83"/>
      <c r="P10" s="83"/>
      <c r="Q10" s="83"/>
      <c r="R10" s="83"/>
      <c r="S10" s="83"/>
      <c r="T10" s="83"/>
    </row>
    <row r="11" spans="1:20" ht="26.25" x14ac:dyDescent="0.25">
      <c r="A11" s="100">
        <f>'Historical Financial Statements'!G5</f>
        <v>3.3887555957521576E-2</v>
      </c>
      <c r="B11" s="100"/>
      <c r="C11" s="100"/>
      <c r="D11" s="100"/>
      <c r="E11" s="100">
        <f>'Historical Financial Statements'!F8</f>
        <v>0.45669470334166856</v>
      </c>
      <c r="F11" s="100"/>
      <c r="G11" s="100"/>
      <c r="H11" s="100"/>
      <c r="I11" s="97">
        <f>'Historical Financial Statements'!F15</f>
        <v>620</v>
      </c>
      <c r="J11" s="97"/>
      <c r="K11" s="97"/>
      <c r="L11" s="97"/>
      <c r="M11" s="100">
        <v>0.19500000000000001</v>
      </c>
      <c r="N11" s="100"/>
      <c r="O11" s="100"/>
      <c r="P11" s="100"/>
      <c r="Q11" s="100">
        <v>0.40899999999999997</v>
      </c>
      <c r="R11" s="100"/>
      <c r="S11" s="100"/>
      <c r="T11" s="100"/>
    </row>
    <row r="12" spans="1:20" x14ac:dyDescent="0.25">
      <c r="A12" s="83"/>
      <c r="B12" s="83"/>
      <c r="C12" s="83"/>
      <c r="D12" s="83"/>
      <c r="E12" s="83"/>
      <c r="F12" s="83"/>
      <c r="G12" s="83"/>
      <c r="H12" s="83"/>
      <c r="I12" s="83"/>
      <c r="J12" s="83"/>
      <c r="K12" s="83"/>
      <c r="L12" s="83"/>
      <c r="M12" s="83"/>
      <c r="N12" s="83"/>
      <c r="O12" s="83"/>
      <c r="P12" s="83"/>
      <c r="Q12" s="83"/>
      <c r="R12" s="83"/>
      <c r="S12" s="83"/>
      <c r="T12" s="83"/>
    </row>
    <row r="13" spans="1:20" x14ac:dyDescent="0.25">
      <c r="A13" s="83"/>
      <c r="B13" s="83"/>
      <c r="C13" s="83"/>
      <c r="D13" s="83"/>
      <c r="E13" s="83"/>
      <c r="F13" s="83"/>
      <c r="G13" s="83"/>
      <c r="H13" s="83"/>
      <c r="I13" s="83"/>
      <c r="J13" s="83"/>
      <c r="K13" s="83"/>
      <c r="L13" s="83"/>
      <c r="M13" s="83"/>
      <c r="N13" s="83"/>
      <c r="O13" s="83"/>
      <c r="P13" s="83"/>
      <c r="Q13" s="83"/>
      <c r="R13" s="83"/>
      <c r="S13" s="83"/>
      <c r="T13" s="83"/>
    </row>
    <row r="14" spans="1:20" x14ac:dyDescent="0.25">
      <c r="A14" s="101" t="str">
        <f>IFERROR("Rating: OVERWEIGHT (SELECTIVE)  |  Target Price: $"&amp;TEXT('DCF Valuation'!B18,"0.00")&amp;"  |  Thesis: Digital-mix inflection, Kyivstar listing provides SOTP price discovery, balance sheet materially de-levered vs. FY2021; Ukraine war-risk and FCF conversion remain key watch items.","INPUT REQUIRED")</f>
        <v>Rating: OVERWEIGHT (SELECTIVE)  |  Target Price: $INPUT REQUIRED  |  Thesis: Digital-mix inflection, Kyivstar listing provides SOTP price discovery, balance sheet materially de-levered vs. FY2021; Ukraine war-risk and FCF conversion remain key watch items.</v>
      </c>
      <c r="B14" s="101"/>
      <c r="C14" s="101"/>
      <c r="D14" s="101"/>
      <c r="E14" s="101"/>
      <c r="F14" s="101"/>
      <c r="G14" s="101"/>
      <c r="H14" s="101"/>
      <c r="I14" s="101"/>
      <c r="J14" s="101"/>
      <c r="K14" s="101"/>
      <c r="L14" s="101"/>
      <c r="M14" s="101"/>
      <c r="N14" s="101"/>
      <c r="O14" s="101"/>
      <c r="P14" s="101"/>
      <c r="Q14" s="101"/>
      <c r="R14" s="101"/>
      <c r="S14" s="101"/>
      <c r="T14" s="101"/>
    </row>
    <row r="15" spans="1:20" x14ac:dyDescent="0.25">
      <c r="A15" s="101"/>
      <c r="B15" s="101"/>
      <c r="C15" s="101"/>
      <c r="D15" s="101"/>
      <c r="E15" s="101"/>
      <c r="F15" s="101"/>
      <c r="G15" s="101"/>
      <c r="H15" s="101"/>
      <c r="I15" s="101"/>
      <c r="J15" s="101"/>
      <c r="K15" s="101"/>
      <c r="L15" s="101"/>
      <c r="M15" s="101"/>
      <c r="N15" s="101"/>
      <c r="O15" s="101"/>
      <c r="P15" s="101"/>
      <c r="Q15" s="101"/>
      <c r="R15" s="101"/>
      <c r="S15" s="101"/>
      <c r="T15" s="101"/>
    </row>
    <row r="16" spans="1:20" x14ac:dyDescent="0.25">
      <c r="A16" s="84"/>
      <c r="B16" s="84"/>
      <c r="C16" s="84"/>
      <c r="D16" s="84"/>
      <c r="E16" s="84"/>
      <c r="F16" s="84"/>
      <c r="G16" s="84"/>
      <c r="H16" s="84"/>
      <c r="I16" s="84"/>
      <c r="J16" s="84"/>
      <c r="K16" s="84"/>
      <c r="L16" s="84"/>
      <c r="M16" s="84"/>
      <c r="N16" s="84"/>
      <c r="O16" s="84"/>
      <c r="P16" s="84"/>
      <c r="Q16" s="84"/>
      <c r="R16" s="84"/>
      <c r="S16" s="84"/>
      <c r="T16" s="84"/>
    </row>
    <row r="17" spans="1:20" x14ac:dyDescent="0.25">
      <c r="A17" s="84"/>
      <c r="B17" s="84"/>
      <c r="C17" s="84"/>
      <c r="D17" s="84"/>
      <c r="E17" s="84"/>
      <c r="F17" s="84"/>
      <c r="G17" s="84"/>
      <c r="H17" s="84"/>
      <c r="I17" s="84"/>
      <c r="J17" s="84"/>
      <c r="K17" s="84"/>
      <c r="L17" s="84"/>
      <c r="M17" s="84"/>
      <c r="N17" s="84"/>
      <c r="O17" s="84"/>
      <c r="P17" s="84"/>
      <c r="Q17" s="84"/>
      <c r="R17" s="84"/>
      <c r="S17" s="84"/>
      <c r="T17" s="84"/>
    </row>
    <row r="18" spans="1:20" x14ac:dyDescent="0.25">
      <c r="A18" s="84"/>
      <c r="B18" s="84"/>
      <c r="C18" s="84"/>
      <c r="D18" s="84"/>
      <c r="E18" s="84"/>
      <c r="F18" s="84"/>
      <c r="G18" s="84"/>
      <c r="H18" s="84"/>
      <c r="I18" s="84"/>
      <c r="J18" s="84"/>
      <c r="K18" s="84"/>
      <c r="L18" s="84"/>
      <c r="M18" s="84"/>
      <c r="N18" s="84"/>
      <c r="O18" s="84"/>
      <c r="P18" s="84"/>
      <c r="Q18" s="84"/>
      <c r="R18" s="84"/>
      <c r="S18" s="84"/>
      <c r="T18" s="84"/>
    </row>
    <row r="19" spans="1:20" x14ac:dyDescent="0.25">
      <c r="A19" s="84"/>
      <c r="B19" s="84"/>
      <c r="C19" s="84"/>
      <c r="D19" s="84"/>
      <c r="E19" s="84"/>
      <c r="F19" s="84"/>
      <c r="G19" s="84"/>
      <c r="H19" s="84"/>
      <c r="I19" s="84"/>
      <c r="J19" s="84"/>
      <c r="K19" s="84"/>
      <c r="L19" s="84"/>
      <c r="M19" s="84"/>
      <c r="N19" s="84"/>
      <c r="O19" s="84"/>
      <c r="P19" s="84"/>
      <c r="Q19" s="84"/>
      <c r="R19" s="84"/>
      <c r="S19" s="84"/>
      <c r="T19" s="84"/>
    </row>
    <row r="20" spans="1:20" x14ac:dyDescent="0.25">
      <c r="A20" s="84"/>
      <c r="B20" s="84"/>
      <c r="C20" s="84"/>
      <c r="D20" s="84"/>
      <c r="E20" s="84"/>
      <c r="F20" s="84"/>
      <c r="G20" s="84"/>
      <c r="H20" s="84"/>
      <c r="I20" s="84"/>
      <c r="J20" s="84"/>
      <c r="K20" s="84"/>
      <c r="L20" s="84"/>
      <c r="M20" s="84"/>
      <c r="N20" s="84"/>
      <c r="O20" s="84"/>
      <c r="P20" s="84"/>
      <c r="Q20" s="84"/>
      <c r="R20" s="84"/>
      <c r="S20" s="84"/>
      <c r="T20" s="84"/>
    </row>
    <row r="21" spans="1:20" x14ac:dyDescent="0.25">
      <c r="A21" s="84"/>
      <c r="B21" s="84"/>
      <c r="C21" s="84"/>
      <c r="D21" s="84"/>
      <c r="E21" s="84"/>
      <c r="F21" s="84"/>
      <c r="G21" s="84"/>
      <c r="H21" s="84"/>
      <c r="I21" s="84"/>
      <c r="J21" s="84"/>
      <c r="K21" s="84"/>
      <c r="L21" s="84"/>
      <c r="M21" s="84"/>
      <c r="N21" s="84"/>
      <c r="O21" s="84"/>
      <c r="P21" s="84"/>
      <c r="Q21" s="84"/>
      <c r="R21" s="84"/>
      <c r="S21" s="84"/>
      <c r="T21" s="84"/>
    </row>
    <row r="22" spans="1:20" x14ac:dyDescent="0.25">
      <c r="A22" s="84"/>
      <c r="B22" s="84"/>
      <c r="C22" s="84"/>
      <c r="D22" s="84"/>
      <c r="E22" s="84"/>
      <c r="F22" s="84"/>
      <c r="G22" s="84"/>
      <c r="H22" s="84"/>
      <c r="I22" s="84"/>
      <c r="J22" s="84"/>
      <c r="K22" s="84"/>
      <c r="L22" s="84"/>
      <c r="M22" s="84"/>
      <c r="N22" s="84"/>
      <c r="O22" s="84"/>
      <c r="P22" s="84"/>
      <c r="Q22" s="84"/>
      <c r="R22" s="84"/>
      <c r="S22" s="84"/>
      <c r="T22" s="84"/>
    </row>
    <row r="23" spans="1:20" x14ac:dyDescent="0.25">
      <c r="A23" s="84"/>
      <c r="B23" s="84"/>
      <c r="C23" s="84"/>
      <c r="D23" s="84"/>
      <c r="E23" s="84"/>
      <c r="F23" s="84"/>
      <c r="G23" s="84"/>
      <c r="H23" s="84"/>
      <c r="I23" s="84"/>
      <c r="J23" s="84"/>
      <c r="K23" s="84"/>
      <c r="L23" s="84"/>
      <c r="M23" s="84"/>
      <c r="N23" s="84"/>
      <c r="O23" s="84"/>
      <c r="P23" s="84"/>
      <c r="Q23" s="84"/>
      <c r="R23" s="84"/>
      <c r="S23" s="84"/>
      <c r="T23" s="84"/>
    </row>
    <row r="24" spans="1:20" x14ac:dyDescent="0.25">
      <c r="A24" s="84"/>
      <c r="B24" s="84"/>
      <c r="C24" s="84"/>
      <c r="D24" s="84"/>
      <c r="E24" s="84"/>
      <c r="F24" s="84"/>
      <c r="G24" s="84"/>
      <c r="H24" s="84"/>
      <c r="I24" s="84"/>
      <c r="J24" s="84"/>
      <c r="K24" s="84"/>
      <c r="L24" s="84"/>
      <c r="M24" s="84"/>
      <c r="N24" s="84"/>
      <c r="O24" s="84"/>
      <c r="P24" s="84"/>
      <c r="Q24" s="84"/>
      <c r="R24" s="84"/>
      <c r="S24" s="84"/>
      <c r="T24" s="84"/>
    </row>
    <row r="25" spans="1:20" x14ac:dyDescent="0.25">
      <c r="A25" s="84"/>
      <c r="B25" s="84"/>
      <c r="C25" s="84"/>
      <c r="D25" s="84"/>
      <c r="E25" s="84"/>
      <c r="F25" s="84"/>
      <c r="G25" s="84"/>
      <c r="H25" s="84"/>
      <c r="I25" s="84"/>
      <c r="J25" s="84"/>
      <c r="K25" s="84"/>
      <c r="L25" s="84"/>
      <c r="M25" s="84"/>
      <c r="N25" s="84"/>
      <c r="O25" s="84"/>
      <c r="P25" s="84"/>
      <c r="Q25" s="84"/>
      <c r="R25" s="84"/>
      <c r="S25" s="84"/>
      <c r="T25" s="84"/>
    </row>
    <row r="26" spans="1:20" x14ac:dyDescent="0.25">
      <c r="A26" s="84"/>
      <c r="B26" s="84"/>
      <c r="C26" s="84"/>
      <c r="D26" s="84"/>
      <c r="E26" s="84"/>
      <c r="F26" s="84"/>
      <c r="G26" s="84"/>
      <c r="H26" s="84"/>
      <c r="I26" s="84"/>
      <c r="J26" s="84"/>
      <c r="K26" s="84"/>
      <c r="L26" s="84"/>
      <c r="M26" s="84"/>
      <c r="N26" s="84"/>
      <c r="O26" s="84"/>
      <c r="P26" s="84"/>
      <c r="Q26" s="84"/>
      <c r="R26" s="84"/>
      <c r="S26" s="84"/>
      <c r="T26" s="84"/>
    </row>
    <row r="27" spans="1:20" x14ac:dyDescent="0.25">
      <c r="A27" s="84"/>
      <c r="B27" s="84"/>
      <c r="C27" s="84"/>
      <c r="D27" s="84"/>
      <c r="E27" s="84"/>
      <c r="F27" s="84"/>
      <c r="G27" s="84"/>
      <c r="H27" s="84"/>
      <c r="I27" s="84"/>
      <c r="J27" s="84"/>
      <c r="K27" s="84"/>
      <c r="L27" s="84"/>
      <c r="M27" s="84"/>
      <c r="N27" s="84"/>
      <c r="O27" s="84"/>
      <c r="P27" s="84"/>
      <c r="Q27" s="84"/>
      <c r="R27" s="84"/>
      <c r="S27" s="84"/>
      <c r="T27" s="84"/>
    </row>
    <row r="28" spans="1:20" x14ac:dyDescent="0.25">
      <c r="A28" s="84"/>
      <c r="B28" s="84"/>
      <c r="C28" s="84"/>
      <c r="D28" s="84"/>
      <c r="E28" s="84"/>
      <c r="F28" s="84"/>
      <c r="G28" s="84"/>
      <c r="H28" s="84"/>
      <c r="I28" s="84"/>
      <c r="J28" s="84"/>
      <c r="K28" s="84"/>
      <c r="L28" s="84"/>
      <c r="M28" s="84"/>
      <c r="N28" s="84"/>
      <c r="O28" s="84"/>
      <c r="P28" s="84"/>
      <c r="Q28" s="84"/>
      <c r="R28" s="84"/>
      <c r="S28" s="84"/>
      <c r="T28" s="84"/>
    </row>
    <row r="29" spans="1:20" x14ac:dyDescent="0.25">
      <c r="A29" s="84"/>
      <c r="B29" s="84"/>
      <c r="C29" s="84"/>
      <c r="D29" s="84"/>
      <c r="E29" s="84"/>
      <c r="F29" s="84"/>
      <c r="G29" s="84"/>
      <c r="H29" s="84"/>
      <c r="I29" s="84"/>
      <c r="J29" s="84"/>
      <c r="K29" s="84"/>
      <c r="L29" s="84"/>
      <c r="M29" s="84"/>
      <c r="N29" s="84"/>
      <c r="O29" s="84"/>
      <c r="P29" s="84"/>
      <c r="Q29" s="84"/>
      <c r="R29" s="84"/>
      <c r="S29" s="84"/>
      <c r="T29" s="84"/>
    </row>
    <row r="30" spans="1:20" x14ac:dyDescent="0.25">
      <c r="A30" s="84"/>
      <c r="B30" s="84"/>
      <c r="C30" s="84"/>
      <c r="D30" s="84"/>
      <c r="E30" s="84"/>
      <c r="F30" s="84"/>
      <c r="G30" s="84"/>
      <c r="H30" s="84"/>
      <c r="I30" s="84"/>
      <c r="J30" s="84"/>
      <c r="K30" s="84"/>
      <c r="L30" s="84"/>
      <c r="M30" s="84"/>
      <c r="N30" s="84"/>
      <c r="O30" s="84"/>
      <c r="P30" s="84"/>
      <c r="Q30" s="84"/>
      <c r="R30" s="84"/>
      <c r="S30" s="84"/>
      <c r="T30" s="84"/>
    </row>
    <row r="31" spans="1:20" x14ac:dyDescent="0.25">
      <c r="A31" s="84"/>
      <c r="B31" s="84"/>
      <c r="C31" s="84"/>
      <c r="D31" s="84"/>
      <c r="E31" s="84"/>
      <c r="F31" s="84"/>
      <c r="G31" s="84"/>
      <c r="H31" s="84"/>
      <c r="I31" s="84"/>
      <c r="J31" s="84"/>
      <c r="K31" s="84"/>
      <c r="L31" s="84"/>
      <c r="M31" s="84"/>
      <c r="N31" s="84"/>
      <c r="O31" s="84"/>
      <c r="P31" s="84"/>
      <c r="Q31" s="84"/>
      <c r="R31" s="84"/>
      <c r="S31" s="84"/>
      <c r="T31" s="84"/>
    </row>
    <row r="32" spans="1:20" x14ac:dyDescent="0.25">
      <c r="A32" s="84"/>
      <c r="B32" s="84"/>
      <c r="C32" s="84"/>
      <c r="D32" s="84"/>
      <c r="E32" s="84"/>
      <c r="F32" s="84"/>
      <c r="G32" s="84"/>
      <c r="H32" s="84"/>
      <c r="I32" s="84"/>
      <c r="J32" s="84"/>
      <c r="K32" s="84"/>
      <c r="L32" s="84"/>
      <c r="M32" s="84"/>
      <c r="N32" s="84"/>
      <c r="O32" s="84"/>
      <c r="P32" s="84"/>
      <c r="Q32" s="84"/>
      <c r="R32" s="84"/>
      <c r="S32" s="84"/>
      <c r="T32" s="84"/>
    </row>
    <row r="33" spans="1:20" x14ac:dyDescent="0.25">
      <c r="A33" s="84"/>
      <c r="B33" s="84"/>
      <c r="C33" s="84"/>
      <c r="D33" s="84"/>
      <c r="E33" s="84"/>
      <c r="F33" s="84"/>
      <c r="G33" s="84"/>
      <c r="H33" s="84"/>
      <c r="I33" s="84"/>
      <c r="J33" s="84"/>
      <c r="K33" s="84"/>
      <c r="L33" s="84"/>
      <c r="M33" s="84"/>
      <c r="N33" s="84"/>
      <c r="O33" s="84"/>
      <c r="P33" s="84"/>
      <c r="Q33" s="84"/>
      <c r="R33" s="84"/>
      <c r="S33" s="84"/>
      <c r="T33" s="84"/>
    </row>
    <row r="34" spans="1:20" x14ac:dyDescent="0.25">
      <c r="A34" s="84"/>
      <c r="B34" s="84"/>
      <c r="C34" s="84"/>
      <c r="D34" s="84"/>
      <c r="E34" s="84"/>
      <c r="F34" s="84"/>
      <c r="G34" s="84"/>
      <c r="H34" s="84"/>
      <c r="I34" s="84"/>
      <c r="J34" s="84"/>
      <c r="K34" s="84"/>
      <c r="L34" s="84"/>
      <c r="M34" s="84"/>
      <c r="N34" s="84"/>
      <c r="O34" s="84"/>
      <c r="P34" s="84"/>
      <c r="Q34" s="84"/>
      <c r="R34" s="84"/>
      <c r="S34" s="84"/>
      <c r="T34" s="84"/>
    </row>
    <row r="35" spans="1:20" x14ac:dyDescent="0.25">
      <c r="A35" s="84"/>
      <c r="B35" s="84"/>
      <c r="C35" s="84"/>
      <c r="D35" s="84"/>
      <c r="E35" s="84"/>
      <c r="F35" s="84"/>
      <c r="G35" s="84"/>
      <c r="H35" s="84"/>
      <c r="I35" s="84"/>
      <c r="J35" s="84"/>
      <c r="K35" s="84"/>
      <c r="L35" s="84"/>
      <c r="M35" s="84"/>
      <c r="N35" s="84"/>
      <c r="O35" s="84"/>
      <c r="P35" s="84"/>
      <c r="Q35" s="84"/>
      <c r="R35" s="84"/>
      <c r="S35" s="84"/>
      <c r="T35" s="84"/>
    </row>
    <row r="36" spans="1:20" x14ac:dyDescent="0.25">
      <c r="A36" s="84"/>
      <c r="B36" s="84"/>
      <c r="C36" s="84"/>
      <c r="D36" s="84"/>
      <c r="E36" s="84"/>
      <c r="F36" s="84"/>
      <c r="G36" s="84"/>
      <c r="H36" s="84"/>
      <c r="I36" s="84"/>
      <c r="J36" s="84"/>
      <c r="K36" s="84"/>
      <c r="L36" s="84"/>
      <c r="M36" s="84"/>
      <c r="N36" s="84"/>
      <c r="O36" s="84"/>
      <c r="P36" s="84"/>
      <c r="Q36" s="84"/>
      <c r="R36" s="84"/>
      <c r="S36" s="84"/>
      <c r="T36" s="84"/>
    </row>
    <row r="37" spans="1:20" x14ac:dyDescent="0.25">
      <c r="A37" s="84"/>
      <c r="B37" s="84"/>
      <c r="C37" s="84"/>
      <c r="D37" s="84"/>
      <c r="E37" s="84"/>
      <c r="F37" s="84"/>
      <c r="G37" s="84"/>
      <c r="H37" s="84"/>
      <c r="I37" s="84"/>
      <c r="J37" s="84"/>
      <c r="K37" s="84"/>
      <c r="L37" s="84"/>
      <c r="M37" s="84"/>
      <c r="N37" s="84"/>
      <c r="O37" s="84"/>
      <c r="P37" s="84"/>
      <c r="Q37" s="84"/>
      <c r="R37" s="84"/>
      <c r="S37" s="84"/>
      <c r="T37" s="84"/>
    </row>
    <row r="38" spans="1:20" x14ac:dyDescent="0.25">
      <c r="A38" s="84"/>
      <c r="B38" s="84"/>
      <c r="C38" s="84"/>
      <c r="D38" s="84"/>
      <c r="E38" s="84"/>
      <c r="F38" s="84"/>
      <c r="G38" s="84"/>
      <c r="H38" s="84"/>
      <c r="I38" s="84"/>
      <c r="J38" s="84"/>
      <c r="K38" s="84"/>
      <c r="L38" s="84"/>
      <c r="M38" s="84"/>
      <c r="N38" s="84"/>
      <c r="O38" s="84"/>
      <c r="P38" s="84"/>
      <c r="Q38" s="84"/>
      <c r="R38" s="84"/>
      <c r="S38" s="84"/>
      <c r="T38" s="84"/>
    </row>
    <row r="39" spans="1:20" x14ac:dyDescent="0.25">
      <c r="A39" s="84"/>
      <c r="B39" s="84"/>
      <c r="C39" s="84"/>
      <c r="D39" s="84"/>
      <c r="E39" s="84"/>
      <c r="F39" s="84"/>
      <c r="G39" s="84"/>
      <c r="H39" s="84"/>
      <c r="I39" s="84"/>
      <c r="J39" s="84"/>
      <c r="K39" s="84"/>
      <c r="L39" s="84"/>
      <c r="M39" s="84"/>
      <c r="N39" s="84"/>
      <c r="O39" s="84"/>
      <c r="P39" s="84"/>
      <c r="Q39" s="84"/>
      <c r="R39" s="84"/>
      <c r="S39" s="84"/>
      <c r="T39" s="84"/>
    </row>
    <row r="40" spans="1:20" x14ac:dyDescent="0.25">
      <c r="A40" s="84"/>
      <c r="B40" s="84"/>
      <c r="C40" s="84"/>
      <c r="D40" s="84"/>
      <c r="E40" s="84"/>
      <c r="F40" s="84"/>
      <c r="G40" s="84"/>
      <c r="H40" s="84"/>
      <c r="I40" s="84"/>
      <c r="J40" s="84"/>
      <c r="K40" s="84"/>
      <c r="L40" s="84"/>
      <c r="M40" s="84"/>
      <c r="N40" s="84"/>
      <c r="O40" s="84"/>
      <c r="P40" s="84"/>
      <c r="Q40" s="84"/>
      <c r="R40" s="84"/>
      <c r="S40" s="84"/>
      <c r="T40" s="84"/>
    </row>
    <row r="41" spans="1:20" x14ac:dyDescent="0.25">
      <c r="A41" s="84"/>
      <c r="B41" s="84"/>
      <c r="C41" s="84"/>
      <c r="D41" s="84"/>
      <c r="E41" s="84"/>
      <c r="F41" s="84"/>
      <c r="G41" s="84"/>
      <c r="H41" s="84"/>
      <c r="I41" s="84"/>
      <c r="J41" s="84"/>
      <c r="K41" s="84"/>
      <c r="L41" s="84"/>
      <c r="M41" s="84"/>
      <c r="N41" s="84"/>
      <c r="O41" s="84"/>
      <c r="P41" s="84"/>
      <c r="Q41" s="84"/>
      <c r="R41" s="84"/>
      <c r="S41" s="84"/>
      <c r="T41" s="84"/>
    </row>
    <row r="42" spans="1:20" x14ac:dyDescent="0.25">
      <c r="A42" s="84"/>
      <c r="B42" s="84"/>
      <c r="C42" s="84"/>
      <c r="D42" s="84"/>
      <c r="E42" s="84"/>
      <c r="F42" s="84"/>
      <c r="G42" s="84"/>
      <c r="H42" s="84"/>
      <c r="I42" s="84"/>
      <c r="J42" s="84"/>
      <c r="K42" s="84"/>
      <c r="L42" s="84"/>
      <c r="M42" s="84"/>
      <c r="N42" s="84"/>
      <c r="O42" s="84"/>
      <c r="P42" s="84"/>
      <c r="Q42" s="84"/>
      <c r="R42" s="84"/>
      <c r="S42" s="84"/>
      <c r="T42" s="84"/>
    </row>
    <row r="43" spans="1:20" x14ac:dyDescent="0.25">
      <c r="A43" s="84"/>
      <c r="B43" s="84"/>
      <c r="C43" s="84"/>
      <c r="D43" s="84"/>
      <c r="E43" s="84"/>
      <c r="F43" s="84"/>
      <c r="G43" s="84"/>
      <c r="H43" s="84"/>
      <c r="I43" s="84"/>
      <c r="J43" s="84"/>
      <c r="K43" s="84"/>
      <c r="L43" s="84"/>
      <c r="M43" s="84"/>
      <c r="N43" s="84"/>
      <c r="O43" s="84"/>
      <c r="P43" s="84"/>
      <c r="Q43" s="84"/>
      <c r="R43" s="84"/>
      <c r="S43" s="84"/>
      <c r="T43" s="84"/>
    </row>
    <row r="44" spans="1:20" x14ac:dyDescent="0.25">
      <c r="A44" s="84"/>
      <c r="B44" s="84"/>
      <c r="C44" s="84"/>
      <c r="D44" s="84"/>
      <c r="E44" s="84"/>
      <c r="F44" s="84"/>
      <c r="G44" s="84"/>
      <c r="H44" s="84"/>
      <c r="I44" s="84"/>
      <c r="J44" s="84"/>
      <c r="K44" s="84"/>
      <c r="L44" s="84"/>
      <c r="M44" s="84"/>
      <c r="N44" s="84"/>
      <c r="O44" s="84"/>
      <c r="P44" s="84"/>
      <c r="Q44" s="84"/>
      <c r="R44" s="84"/>
      <c r="S44" s="84"/>
      <c r="T44" s="84"/>
    </row>
    <row r="45" spans="1:20" x14ac:dyDescent="0.25">
      <c r="A45" s="84"/>
      <c r="B45" s="84"/>
      <c r="C45" s="84"/>
      <c r="D45" s="84"/>
      <c r="E45" s="84"/>
      <c r="F45" s="84"/>
      <c r="G45" s="84"/>
      <c r="H45" s="84"/>
      <c r="I45" s="84"/>
      <c r="J45" s="84"/>
      <c r="K45" s="84"/>
      <c r="L45" s="84"/>
      <c r="M45" s="84"/>
      <c r="N45" s="84"/>
      <c r="O45" s="84"/>
      <c r="P45" s="84"/>
      <c r="Q45" s="84"/>
      <c r="R45" s="84"/>
      <c r="S45" s="84"/>
      <c r="T45" s="84"/>
    </row>
    <row r="46" spans="1:20" x14ac:dyDescent="0.25">
      <c r="A46" t="s">
        <v>281</v>
      </c>
    </row>
    <row r="47" spans="1:20" x14ac:dyDescent="0.25">
      <c r="A47" t="s">
        <v>282</v>
      </c>
      <c r="B47" t="s">
        <v>283</v>
      </c>
      <c r="C47" t="s">
        <v>284</v>
      </c>
    </row>
    <row r="48" spans="1:20" x14ac:dyDescent="0.25">
      <c r="A48" t="s">
        <v>285</v>
      </c>
      <c r="B48">
        <v>0</v>
      </c>
      <c r="C48" t="str">
        <f>IFERROR('DCF Valuation'!$B$18,"INPUT REQUIRED")</f>
        <v>INPUT REQUIRED</v>
      </c>
    </row>
    <row r="49" spans="1:3" x14ac:dyDescent="0.25">
      <c r="A49" t="s">
        <v>286</v>
      </c>
      <c r="B49">
        <v>0</v>
      </c>
      <c r="C49">
        <v>0</v>
      </c>
    </row>
    <row r="50" spans="1:3" x14ac:dyDescent="0.25">
      <c r="A50" t="s">
        <v>287</v>
      </c>
      <c r="B50">
        <v>0</v>
      </c>
      <c r="C50">
        <v>0</v>
      </c>
    </row>
    <row r="51" spans="1:3" x14ac:dyDescent="0.25">
      <c r="A51" t="s">
        <v>288</v>
      </c>
      <c r="B51">
        <v>0</v>
      </c>
      <c r="C51">
        <v>0</v>
      </c>
    </row>
  </sheetData>
  <mergeCells count="24">
    <mergeCell ref="A14:T15"/>
    <mergeCell ref="A11:D11"/>
    <mergeCell ref="E11:H11"/>
    <mergeCell ref="I11:L11"/>
    <mergeCell ref="M11:P11"/>
    <mergeCell ref="Q11:T11"/>
    <mergeCell ref="A9:D9"/>
    <mergeCell ref="E9:H9"/>
    <mergeCell ref="I9:L9"/>
    <mergeCell ref="M9:P9"/>
    <mergeCell ref="Q9:T9"/>
    <mergeCell ref="A6:D6"/>
    <mergeCell ref="E6:H6"/>
    <mergeCell ref="I6:L6"/>
    <mergeCell ref="M6:P6"/>
    <mergeCell ref="Q6:T6"/>
    <mergeCell ref="A1:J1"/>
    <mergeCell ref="K1:N1"/>
    <mergeCell ref="O1:T1"/>
    <mergeCell ref="A4:D4"/>
    <mergeCell ref="E4:H4"/>
    <mergeCell ref="I4:L4"/>
    <mergeCell ref="M4:P4"/>
    <mergeCell ref="Q4:T4"/>
  </mergeCells>
  <conditionalFormatting sqref="Q6">
    <cfRule type="cellIs" dxfId="5" priority="2" operator="greaterThan">
      <formula>2.5</formula>
    </cfRule>
    <cfRule type="cellIs" dxfId="4" priority="3" operator="lessThanOrEqual">
      <formula>2.5</formula>
    </cfRule>
  </conditionalFormatting>
  <conditionalFormatting sqref="A11">
    <cfRule type="cellIs" dxfId="3" priority="4" operator="greaterThan">
      <formula>0.05</formula>
    </cfRule>
    <cfRule type="cellIs" dxfId="2" priority="5" operator="lessThanOrEqual">
      <formula>0.05</formula>
    </cfRule>
  </conditionalFormatting>
  <pageMargins left="0.4" right="0.4" top="0.5" bottom="0.5" header="0.511811023622047" footer="0.511811023622047"/>
  <pageSetup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29"/>
  <sheetViews>
    <sheetView showGridLines="0" zoomScaleNormal="100" workbookViewId="0">
      <pane ySplit="3" topLeftCell="A4" activePane="bottomLeft" state="frozen"/>
      <selection pane="bottomLeft" sqref="A1:F1"/>
    </sheetView>
  </sheetViews>
  <sheetFormatPr defaultColWidth="8.7109375" defaultRowHeight="15" x14ac:dyDescent="0.25"/>
  <cols>
    <col min="1" max="1" width="30" customWidth="1"/>
    <col min="2" max="5" width="16" customWidth="1"/>
    <col min="6" max="6" width="30" customWidth="1"/>
  </cols>
  <sheetData>
    <row r="1" spans="1:6" ht="18.75" x14ac:dyDescent="0.25">
      <c r="A1" s="6" t="s">
        <v>289</v>
      </c>
      <c r="B1" s="6"/>
      <c r="C1" s="6"/>
      <c r="D1" s="6"/>
      <c r="E1" s="6"/>
      <c r="F1" s="6"/>
    </row>
    <row r="3" spans="1:6" x14ac:dyDescent="0.25">
      <c r="A3" s="36" t="s">
        <v>290</v>
      </c>
    </row>
    <row r="4" spans="1:6" x14ac:dyDescent="0.25">
      <c r="A4" s="27" t="s">
        <v>291</v>
      </c>
      <c r="B4" s="27" t="s">
        <v>104</v>
      </c>
      <c r="C4" s="27" t="s">
        <v>79</v>
      </c>
      <c r="D4" s="27" t="s">
        <v>80</v>
      </c>
      <c r="E4" s="27" t="s">
        <v>81</v>
      </c>
      <c r="F4" s="27" t="s">
        <v>82</v>
      </c>
    </row>
    <row r="5" spans="1:6" x14ac:dyDescent="0.25">
      <c r="A5" s="28" t="s">
        <v>292</v>
      </c>
      <c r="B5" s="42">
        <f>'Raw Financial Data'!C6</f>
        <v>564</v>
      </c>
      <c r="C5" s="42">
        <f>'Raw Financial Data'!D6</f>
        <v>576</v>
      </c>
      <c r="D5" s="42">
        <f>'Raw Financial Data'!E6</f>
        <v>570</v>
      </c>
      <c r="E5" s="42">
        <f>'Raw Financial Data'!F6</f>
        <v>520</v>
      </c>
      <c r="F5" s="42">
        <f>'Raw Financial Data'!G6</f>
        <v>460</v>
      </c>
    </row>
    <row r="6" spans="1:6" x14ac:dyDescent="0.25">
      <c r="A6" s="28" t="s">
        <v>181</v>
      </c>
      <c r="C6" s="41">
        <f>C5/B5-1</f>
        <v>2.1276595744680771E-2</v>
      </c>
      <c r="D6" s="41">
        <f>D5/C5-1</f>
        <v>-1.041666666666663E-2</v>
      </c>
      <c r="E6" s="41">
        <f>E5/D5-1</f>
        <v>-8.7719298245614086E-2</v>
      </c>
      <c r="F6" s="41">
        <f>F5/E5-1</f>
        <v>-0.11538461538461542</v>
      </c>
    </row>
    <row r="8" spans="1:6" x14ac:dyDescent="0.25">
      <c r="A8" s="36" t="s">
        <v>293</v>
      </c>
    </row>
    <row r="9" spans="1:6" x14ac:dyDescent="0.25">
      <c r="A9" s="28" t="s">
        <v>294</v>
      </c>
      <c r="B9" s="30">
        <v>250</v>
      </c>
    </row>
    <row r="10" spans="1:6" x14ac:dyDescent="0.25">
      <c r="A10" s="28" t="s">
        <v>295</v>
      </c>
      <c r="B10" s="30">
        <v>1000</v>
      </c>
    </row>
    <row r="11" spans="1:6" x14ac:dyDescent="0.25">
      <c r="A11" s="28" t="s">
        <v>296</v>
      </c>
      <c r="B11" s="68">
        <f>B10/B9</f>
        <v>4</v>
      </c>
    </row>
    <row r="13" spans="1:6" x14ac:dyDescent="0.25">
      <c r="A13" s="36" t="s">
        <v>297</v>
      </c>
    </row>
    <row r="14" spans="1:6" ht="25.5" x14ac:dyDescent="0.25">
      <c r="A14" s="27" t="s">
        <v>298</v>
      </c>
      <c r="B14" s="27" t="s">
        <v>299</v>
      </c>
    </row>
    <row r="15" spans="1:6" x14ac:dyDescent="0.25">
      <c r="A15" s="28" t="s">
        <v>300</v>
      </c>
      <c r="B15" s="30">
        <v>15</v>
      </c>
    </row>
    <row r="16" spans="1:6" x14ac:dyDescent="0.25">
      <c r="A16" s="28" t="s">
        <v>301</v>
      </c>
      <c r="B16" s="30">
        <v>20</v>
      </c>
    </row>
    <row r="17" spans="1:4" x14ac:dyDescent="0.25">
      <c r="A17" s="28" t="s">
        <v>302</v>
      </c>
      <c r="B17" s="85">
        <v>2</v>
      </c>
    </row>
    <row r="18" spans="1:4" x14ac:dyDescent="0.25">
      <c r="A18" s="28" t="s">
        <v>303</v>
      </c>
      <c r="B18" s="85">
        <v>1.5</v>
      </c>
    </row>
    <row r="20" spans="1:4" x14ac:dyDescent="0.25">
      <c r="A20" s="36" t="s">
        <v>304</v>
      </c>
    </row>
    <row r="21" spans="1:4" x14ac:dyDescent="0.25">
      <c r="A21" s="28" t="s">
        <v>305</v>
      </c>
      <c r="B21" s="85">
        <v>21.6</v>
      </c>
    </row>
    <row r="22" spans="1:4" x14ac:dyDescent="0.25">
      <c r="A22" s="28" t="s">
        <v>306</v>
      </c>
      <c r="B22" s="86" t="s">
        <v>307</v>
      </c>
    </row>
    <row r="24" spans="1:4" x14ac:dyDescent="0.25">
      <c r="A24" s="36" t="s">
        <v>308</v>
      </c>
    </row>
    <row r="25" spans="1:4" x14ac:dyDescent="0.25">
      <c r="A25" s="5" t="s">
        <v>309</v>
      </c>
      <c r="B25" s="5"/>
      <c r="C25" s="5"/>
      <c r="D25" s="5"/>
    </row>
    <row r="26" spans="1:4" x14ac:dyDescent="0.25">
      <c r="A26" s="5" t="s">
        <v>310</v>
      </c>
      <c r="B26" s="5"/>
      <c r="C26" s="5"/>
      <c r="D26" s="5"/>
    </row>
    <row r="27" spans="1:4" x14ac:dyDescent="0.25">
      <c r="A27" s="5" t="s">
        <v>311</v>
      </c>
      <c r="B27" s="5"/>
      <c r="C27" s="5"/>
      <c r="D27" s="5"/>
    </row>
    <row r="28" spans="1:4" x14ac:dyDescent="0.25">
      <c r="A28" s="5" t="s">
        <v>312</v>
      </c>
      <c r="B28" s="5"/>
      <c r="C28" s="5"/>
      <c r="D28" s="5"/>
    </row>
    <row r="29" spans="1:4" x14ac:dyDescent="0.25">
      <c r="A29" s="5" t="s">
        <v>313</v>
      </c>
      <c r="B29" s="5"/>
      <c r="C29" s="5"/>
      <c r="D29" s="5"/>
    </row>
  </sheetData>
  <mergeCells count="6">
    <mergeCell ref="A29:D29"/>
    <mergeCell ref="A1:F1"/>
    <mergeCell ref="A25:D25"/>
    <mergeCell ref="A26:D26"/>
    <mergeCell ref="A27:D27"/>
    <mergeCell ref="A28:D28"/>
  </mergeCells>
  <pageMargins left="0.4" right="0.4" top="0.5" bottom="0.5" header="0.511811023622047" footer="0.511811023622047"/>
  <pageSetup fitToHeight="0" orientation="landscape"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41"/>
  <sheetViews>
    <sheetView showGridLines="0" tabSelected="1" zoomScaleNormal="100" workbookViewId="0">
      <pane ySplit="2" topLeftCell="A6" activePane="bottomLeft" state="frozen"/>
      <selection pane="bottomLeft" activeCell="F17" sqref="F17"/>
    </sheetView>
  </sheetViews>
  <sheetFormatPr defaultColWidth="8.7109375" defaultRowHeight="15" x14ac:dyDescent="0.25"/>
  <cols>
    <col min="1" max="1" width="26" customWidth="1"/>
    <col min="2" max="2" width="60" customWidth="1"/>
  </cols>
  <sheetData>
    <row r="1" spans="1:2" ht="18.75" x14ac:dyDescent="0.25">
      <c r="A1" s="6" t="s">
        <v>314</v>
      </c>
      <c r="B1" s="6"/>
    </row>
    <row r="3" spans="1:2" x14ac:dyDescent="0.25">
      <c r="A3" s="31" t="s">
        <v>315</v>
      </c>
      <c r="B3" s="87" t="s">
        <v>270</v>
      </c>
    </row>
    <row r="4" spans="1:2" x14ac:dyDescent="0.25">
      <c r="A4" s="31" t="s">
        <v>316</v>
      </c>
      <c r="B4" s="88" t="str">
        <f>IFERROR('DCF Valuation'!B18,"INPUT REQUIRED")</f>
        <v>INPUT REQUIRED</v>
      </c>
    </row>
    <row r="5" spans="1:2" x14ac:dyDescent="0.25">
      <c r="A5" s="28" t="s">
        <v>317</v>
      </c>
      <c r="B5" s="89">
        <f>'DCF Valuation'!B19</f>
        <v>0</v>
      </c>
    </row>
    <row r="6" spans="1:2" x14ac:dyDescent="0.25">
      <c r="A6" s="31" t="s">
        <v>221</v>
      </c>
      <c r="B6" s="90" t="str">
        <f>'DCF Valuation'!B20</f>
        <v>n/a</v>
      </c>
    </row>
    <row r="8" spans="1:2" x14ac:dyDescent="0.25">
      <c r="A8" s="36" t="s">
        <v>318</v>
      </c>
    </row>
    <row r="9" spans="1:2" ht="26.25" x14ac:dyDescent="0.25">
      <c r="A9" s="91" t="s">
        <v>319</v>
      </c>
      <c r="B9" s="25" t="s">
        <v>320</v>
      </c>
    </row>
    <row r="10" spans="1:2" ht="26.25" x14ac:dyDescent="0.25">
      <c r="A10" s="91" t="s">
        <v>319</v>
      </c>
      <c r="B10" s="25" t="s">
        <v>321</v>
      </c>
    </row>
    <row r="11" spans="1:2" ht="26.25" x14ac:dyDescent="0.25">
      <c r="A11" s="91" t="s">
        <v>319</v>
      </c>
      <c r="B11" s="25" t="s">
        <v>322</v>
      </c>
    </row>
    <row r="12" spans="1:2" ht="26.25" x14ac:dyDescent="0.25">
      <c r="A12" s="91" t="s">
        <v>319</v>
      </c>
      <c r="B12" s="25" t="s">
        <v>323</v>
      </c>
    </row>
    <row r="13" spans="1:2" ht="26.25" x14ac:dyDescent="0.25">
      <c r="A13" s="91" t="s">
        <v>319</v>
      </c>
      <c r="B13" s="25" t="s">
        <v>324</v>
      </c>
    </row>
    <row r="15" spans="1:2" x14ac:dyDescent="0.25">
      <c r="A15" s="34" t="s">
        <v>325</v>
      </c>
    </row>
    <row r="16" spans="1:2" ht="26.25" x14ac:dyDescent="0.25">
      <c r="A16" s="22" t="s">
        <v>319</v>
      </c>
      <c r="B16" s="25" t="s">
        <v>326</v>
      </c>
    </row>
    <row r="17" spans="1:2" ht="26.25" x14ac:dyDescent="0.25">
      <c r="A17" s="22" t="s">
        <v>319</v>
      </c>
      <c r="B17" s="25" t="s">
        <v>327</v>
      </c>
    </row>
    <row r="18" spans="1:2" ht="26.25" x14ac:dyDescent="0.25">
      <c r="A18" s="22" t="s">
        <v>319</v>
      </c>
      <c r="B18" s="25" t="s">
        <v>328</v>
      </c>
    </row>
    <row r="19" spans="1:2" ht="26.25" x14ac:dyDescent="0.25">
      <c r="A19" s="22" t="s">
        <v>319</v>
      </c>
      <c r="B19" s="25" t="s">
        <v>329</v>
      </c>
    </row>
    <row r="20" spans="1:2" ht="26.25" x14ac:dyDescent="0.25">
      <c r="A20" s="22" t="s">
        <v>319</v>
      </c>
      <c r="B20" s="25" t="s">
        <v>330</v>
      </c>
    </row>
    <row r="22" spans="1:2" x14ac:dyDescent="0.25">
      <c r="A22" s="36" t="s">
        <v>331</v>
      </c>
    </row>
    <row r="23" spans="1:2" ht="26.25" x14ac:dyDescent="0.25">
      <c r="A23" s="24" t="s">
        <v>319</v>
      </c>
      <c r="B23" s="25" t="s">
        <v>332</v>
      </c>
    </row>
    <row r="24" spans="1:2" x14ac:dyDescent="0.25">
      <c r="A24" s="24" t="s">
        <v>319</v>
      </c>
      <c r="B24" s="25" t="s">
        <v>333</v>
      </c>
    </row>
    <row r="25" spans="1:2" ht="26.25" x14ac:dyDescent="0.25">
      <c r="A25" s="24" t="s">
        <v>319</v>
      </c>
      <c r="B25" s="25" t="s">
        <v>334</v>
      </c>
    </row>
    <row r="26" spans="1:2" x14ac:dyDescent="0.25">
      <c r="A26" s="24" t="s">
        <v>319</v>
      </c>
      <c r="B26" s="25" t="s">
        <v>335</v>
      </c>
    </row>
    <row r="27" spans="1:2" x14ac:dyDescent="0.25">
      <c r="A27" s="24" t="s">
        <v>319</v>
      </c>
      <c r="B27" s="25" t="s">
        <v>336</v>
      </c>
    </row>
    <row r="28" spans="1:2" ht="26.25" x14ac:dyDescent="0.25">
      <c r="A28" s="24" t="s">
        <v>319</v>
      </c>
      <c r="B28" s="25" t="s">
        <v>337</v>
      </c>
    </row>
    <row r="31" spans="1:2" x14ac:dyDescent="0.25">
      <c r="A31" s="53" t="s">
        <v>338</v>
      </c>
    </row>
    <row r="32" spans="1:2" x14ac:dyDescent="0.25">
      <c r="A32" t="s">
        <v>282</v>
      </c>
      <c r="B32" t="s">
        <v>339</v>
      </c>
    </row>
    <row r="33" spans="1:2" x14ac:dyDescent="0.25">
      <c r="A33" t="s">
        <v>340</v>
      </c>
      <c r="B33" s="92" t="str">
        <f>IFERROR('DCF Valuation'!B18,"INPUT REQUIRED")</f>
        <v>INPUT REQUIRED</v>
      </c>
    </row>
    <row r="34" spans="1:2" x14ac:dyDescent="0.25">
      <c r="A34" t="s">
        <v>341</v>
      </c>
      <c r="B34" s="92">
        <f>IFERROR('Trading Comparables'!B33/'DCF Valuation'!B17,"n/a")</f>
        <v>0</v>
      </c>
    </row>
    <row r="35" spans="1:2" x14ac:dyDescent="0.25">
      <c r="A35" t="s">
        <v>342</v>
      </c>
      <c r="B35" s="92" t="str">
        <f>IFERROR('DCF Valuation'!B18,"INPUT REQUIRED")</f>
        <v>INPUT REQUIRED</v>
      </c>
    </row>
    <row r="37" spans="1:2" x14ac:dyDescent="0.25">
      <c r="A37" s="53" t="s">
        <v>343</v>
      </c>
    </row>
    <row r="38" spans="1:2" ht="15" customHeight="1" x14ac:dyDescent="0.25">
      <c r="A38" s="7" t="s">
        <v>344</v>
      </c>
      <c r="B38" s="7"/>
    </row>
    <row r="39" spans="1:2" x14ac:dyDescent="0.25">
      <c r="A39" s="7"/>
      <c r="B39" s="7"/>
    </row>
    <row r="40" spans="1:2" x14ac:dyDescent="0.25">
      <c r="A40" s="7"/>
      <c r="B40" s="7"/>
    </row>
    <row r="41" spans="1:2" x14ac:dyDescent="0.25">
      <c r="A41" s="7"/>
      <c r="B41" s="7"/>
    </row>
  </sheetData>
  <mergeCells count="2">
    <mergeCell ref="A1:B1"/>
    <mergeCell ref="A38:B41"/>
  </mergeCells>
  <conditionalFormatting sqref="B6">
    <cfRule type="cellIs" dxfId="1" priority="2" operator="greaterThan">
      <formula>0</formula>
    </cfRule>
    <cfRule type="cellIs" dxfId="0" priority="3" operator="lessThan">
      <formula>0</formula>
    </cfRule>
  </conditionalFormatting>
  <pageMargins left="0.4" right="0.4" top="0.5" bottom="0.5" header="0.511811023622047" footer="0.511811023622047"/>
  <pageSetup fitToHeight="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Cover</vt:lpstr>
      <vt:lpstr>Instructions</vt:lpstr>
      <vt:lpstr>Raw Financial Data</vt:lpstr>
      <vt:lpstr>Historical Financial Statements</vt:lpstr>
      <vt:lpstr>Assumptions</vt:lpstr>
      <vt:lpstr>Revenue Forecast</vt:lpstr>
      <vt:lpstr>Operating Forecast</vt:lpstr>
      <vt:lpstr>DCF Valuation</vt:lpstr>
      <vt:lpstr>Trading Comparables</vt:lpstr>
      <vt:lpstr>Sensitivity Analysis</vt:lpstr>
      <vt:lpstr>Executive Dashboard</vt:lpstr>
      <vt:lpstr>Banglalink Strategic Insights</vt:lpstr>
      <vt:lpstr>Investment Summary</vt:lpstr>
      <vt:lpstr>Assum_TaxRate</vt:lpstr>
      <vt:lpstr>Assum_TermGrowth</vt:lpstr>
      <vt:lpstr>Assum_WACC</vt:lpstr>
      <vt:lpstr>Comps_EVEBITDA_Median</vt:lpstr>
      <vt:lpstr>Comps_EVSales_Median</vt:lpstr>
      <vt:lpstr>Cover_ReportDate</vt:lpstr>
      <vt:lpstr>Cover_Version</vt:lpstr>
      <vt:lpstr>DCF_EquityValue</vt:lpstr>
      <vt:lpstr>DCF_EV</vt:lpstr>
      <vt:lpstr>DCF_ImpliedPrice</vt:lpstr>
      <vt:lpstr>Fcst_Digital_Pct</vt:lpstr>
      <vt:lpstr>Fcst_EBITDA</vt:lpstr>
      <vt:lpstr>Fcst_Revenue_Total</vt:lpstr>
      <vt:lpstr>Fcst_UFCF</vt:lpstr>
      <vt:lpstr>Hist_EBITDA</vt:lpstr>
      <vt:lpstr>Hist_FCF</vt:lpstr>
      <vt:lpstr>Hist_NetDebt</vt:lpstr>
      <vt:lpstr>Hist_Revenue</vt:lpstr>
      <vt:lpstr>Raw_EBITDA_Total</vt:lpstr>
      <vt:lpstr>Raw_NetDebt</vt:lpstr>
      <vt:lpstr>Raw_Revenue_Total</vt:lpstr>
      <vt:lpstr>Sens_TermGrowth_Range</vt:lpstr>
      <vt:lpstr>Sens_WACC_Range</vt:lpstr>
      <vt:lpstr>Summary_Rating</vt:lpstr>
      <vt:lpstr>Summary_TargetPrice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2026-08-04T09:26:16Z</dcterms:created>
  <dcterms:modified xsi:type="dcterms:W3CDTF">2026-08-04T12:08:04Z</dcterms:modified>
  <dc:language>en-US</dc:language>
</cp:coreProperties>
</file>